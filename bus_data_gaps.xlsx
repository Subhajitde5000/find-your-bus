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outes - timetable" sheetId="2" state="visible" r:id="rId4"/>
    <sheet name="Stops - missing GPS" sheetId="3" state="visible" r:id="rId5"/>
  </sheets>
  <definedNames>
    <definedName function="false" hidden="true" localSheetId="1" name="_xlnm._FilterDatabase" vbProcedure="false">'Routes - timetable'!$A$1:$M$651</definedName>
    <definedName function="false" hidden="true" localSheetId="2" name="_xlnm._FilterDatabase" vbProcedure="false">'Stops - missing GPS'!$A$1:$H$1072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<sst xmlns="http://schemas.openxmlformats.org/spreadsheetml/2006/main" count="8888" uniqueCount="3503">
  <si>
    <t xml:space="preserve">Kolkata bus data gaps</t>
  </si>
  <si>
    <t xml:space="preserve">Counted from fontend/src/data/kolkata-bus-data.json at commit 5ae02df (Merge PR #12). Every number below is a formula over the other two sheets.</t>
  </si>
  <si>
    <t xml:space="preserve">ROUTES AND TIMETABLES</t>
  </si>
  <si>
    <t xml:space="preserve">Total routes</t>
  </si>
  <si>
    <t xml:space="preserve">All routes in the website data</t>
  </si>
  <si>
    <t xml:space="preserve">Routes with full times</t>
  </si>
  <si>
    <t xml:space="preserve">A published time at every stop in every run</t>
  </si>
  <si>
    <t xml:space="preserve">Routes with partial times</t>
  </si>
  <si>
    <t xml:space="preserve">Some blank time cells</t>
  </si>
  <si>
    <t xml:space="preserve">Routes with sample times only</t>
  </si>
  <si>
    <t xml:space="preserve">Illustrative frequency, not an official timetable</t>
  </si>
  <si>
    <t xml:space="preserve">Routes with NO timetable</t>
  </si>
  <si>
    <t xml:space="preserve">Route and stops are known; no operator publishes times</t>
  </si>
  <si>
    <t xml:space="preserve">Routes missing a full timetable (all of the above except full)</t>
  </si>
  <si>
    <t xml:space="preserve">Partial + sample only + no timetable</t>
  </si>
  <si>
    <t xml:space="preserve">Timetabled routes with times in one direction only</t>
  </si>
  <si>
    <t xml:space="preserve">Return or outbound times missing</t>
  </si>
  <si>
    <t xml:space="preserve">STOPS AND GPS</t>
  </si>
  <si>
    <t xml:space="preserve">Stops with no GPS point</t>
  </si>
  <si>
    <t xml:space="preserve">Cannot be matched by GPS or drawn on the map</t>
  </si>
  <si>
    <t xml:space="preserve">Stops with a GPS point that still needs checking</t>
  </si>
  <si>
    <t xml:space="preserve">Candidate coordinate, not yet confirmed</t>
  </si>
  <si>
    <t xml:space="preserve">Stops needing attention in total</t>
  </si>
  <si>
    <t xml:space="preserve">Rows in next step/MISSING_COORDINATES.csv</t>
  </si>
  <si>
    <t xml:space="preserve">Total stops in the data</t>
  </si>
  <si>
    <t xml:space="preserve">From the dataset (kolkata-bus-data.json, stops list)</t>
  </si>
  <si>
    <t xml:space="preserve">Share of stops with no GPS</t>
  </si>
  <si>
    <t xml:space="preserve">Stops with no GPS point / all stops</t>
  </si>
  <si>
    <t xml:space="preserve">ROUTES AND GPS</t>
  </si>
  <si>
    <t xml:space="preserve">Routes with every stop located</t>
  </si>
  <si>
    <t xml:space="preserve">Fully drawable on the map</t>
  </si>
  <si>
    <t xml:space="preserve">Routes with at least one stop missing GPS</t>
  </si>
  <si>
    <t xml:space="preserve">Timetabled routes (full times) with every stop located</t>
  </si>
  <si>
    <t xml:space="preserve">Route</t>
  </si>
  <si>
    <t xml:space="preserve">Operator</t>
  </si>
  <si>
    <t xml:space="preserve">Type</t>
  </si>
  <si>
    <t xml:space="preserve">From</t>
  </si>
  <si>
    <t xml:space="preserve">To</t>
  </si>
  <si>
    <t xml:space="preserve">Source</t>
  </si>
  <si>
    <t xml:space="preserve">Timetable status</t>
  </si>
  <si>
    <t xml:space="preserve">Outbound runs</t>
  </si>
  <si>
    <t xml:space="preserve">Return runs</t>
  </si>
  <si>
    <t xml:space="preserve">Stops on route</t>
  </si>
  <si>
    <t xml:space="preserve">Stops with GPS</t>
  </si>
  <si>
    <t xml:space="preserve">Stops missing GPS</t>
  </si>
  <si>
    <t xml:space="preserve">GPS coverage</t>
  </si>
  <si>
    <t xml:space="preserve">1</t>
  </si>
  <si>
    <t xml:space="preserve">Joint Council of Bus Syndicates</t>
  </si>
  <si>
    <t xml:space="preserve">Non-AC</t>
  </si>
  <si>
    <t xml:space="preserve">Ramnagar</t>
  </si>
  <si>
    <t xml:space="preserve">Mukundapur</t>
  </si>
  <si>
    <t xml:space="preserve">Kolkata bus directory v2</t>
  </si>
  <si>
    <t xml:space="preserve">Full times</t>
  </si>
  <si>
    <t xml:space="preserve">11A</t>
  </si>
  <si>
    <t xml:space="preserve">WBTC</t>
  </si>
  <si>
    <t xml:space="preserve">Dum Dum</t>
  </si>
  <si>
    <t xml:space="preserve">Howrah Railway Station</t>
  </si>
  <si>
    <t xml:space="preserve">Published route list</t>
  </si>
  <si>
    <t xml:space="preserve">No timetable</t>
  </si>
  <si>
    <t xml:space="preserve">12</t>
  </si>
  <si>
    <t xml:space="preserve">Private</t>
  </si>
  <si>
    <t xml:space="preserve">Badartala</t>
  </si>
  <si>
    <t xml:space="preserve">Rajabazar</t>
  </si>
  <si>
    <t xml:space="preserve">12 (Shuttle)</t>
  </si>
  <si>
    <t xml:space="preserve">Esplanade</t>
  </si>
  <si>
    <t xml:space="preserve">12A</t>
  </si>
  <si>
    <t xml:space="preserve">12AD</t>
  </si>
  <si>
    <t xml:space="preserve">Akra Fatak</t>
  </si>
  <si>
    <t xml:space="preserve">12B (Shuttle)</t>
  </si>
  <si>
    <t xml:space="preserve">Kamal Talkies</t>
  </si>
  <si>
    <t xml:space="preserve">12C</t>
  </si>
  <si>
    <t xml:space="preserve">Bengal Bus Syndicate</t>
  </si>
  <si>
    <t xml:space="preserve">Shilpara</t>
  </si>
  <si>
    <t xml:space="preserve">12C (Pailan - Howrah Railway Station)</t>
  </si>
  <si>
    <t xml:space="preserve">Pailan</t>
  </si>
  <si>
    <t xml:space="preserve">12C/1 (Shibrampur - Howrah Railway Station)</t>
  </si>
  <si>
    <t xml:space="preserve">Shibrampur</t>
  </si>
  <si>
    <t xml:space="preserve">12C/1A</t>
  </si>
  <si>
    <t xml:space="preserve">12C/1B</t>
  </si>
  <si>
    <t xml:space="preserve">12C/2</t>
  </si>
  <si>
    <t xml:space="preserve">Aquatica</t>
  </si>
  <si>
    <t xml:space="preserve">12C_1</t>
  </si>
  <si>
    <t xml:space="preserve">Parnasree</t>
  </si>
  <si>
    <t xml:space="preserve">12N</t>
  </si>
  <si>
    <t xml:space="preserve">Thakurpukur</t>
  </si>
  <si>
    <t xml:space="preserve">Nabanna</t>
  </si>
  <si>
    <t xml:space="preserve">13</t>
  </si>
  <si>
    <t xml:space="preserve">Sealdah</t>
  </si>
  <si>
    <t xml:space="preserve">13A</t>
  </si>
  <si>
    <t xml:space="preserve">S.M. Nagar</t>
  </si>
  <si>
    <t xml:space="preserve">B.B.D. Bagh</t>
  </si>
  <si>
    <t xml:space="preserve">13C</t>
  </si>
  <si>
    <t xml:space="preserve">Old Dakghar</t>
  </si>
  <si>
    <t xml:space="preserve">Baghajatin</t>
  </si>
  <si>
    <t xml:space="preserve">14A</t>
  </si>
  <si>
    <t xml:space="preserve">Bichali Ghat</t>
  </si>
  <si>
    <t xml:space="preserve">Bikash Bhawan</t>
  </si>
  <si>
    <t xml:space="preserve">15</t>
  </si>
  <si>
    <t xml:space="preserve">Munshirhat</t>
  </si>
  <si>
    <t xml:space="preserve">15 (Ultadanga - Howrah Railway Station)</t>
  </si>
  <si>
    <t xml:space="preserve">Ultadanga</t>
  </si>
  <si>
    <t xml:space="preserve">17</t>
  </si>
  <si>
    <t xml:space="preserve">Chetla</t>
  </si>
  <si>
    <t xml:space="preserve">173</t>
  </si>
  <si>
    <t xml:space="preserve">Unknown</t>
  </si>
  <si>
    <t xml:space="preserve">Chingrighata</t>
  </si>
  <si>
    <t xml:space="preserve">Beleghata</t>
  </si>
  <si>
    <t xml:space="preserve">18A</t>
  </si>
  <si>
    <t xml:space="preserve">Greenfield City</t>
  </si>
  <si>
    <t xml:space="preserve">18B/1</t>
  </si>
  <si>
    <t xml:space="preserve">Dakghar (Bagmari)</t>
  </si>
  <si>
    <t xml:space="preserve">China Mandir</t>
  </si>
  <si>
    <t xml:space="preserve">18C</t>
  </si>
  <si>
    <t xml:space="preserve">Kestor More</t>
  </si>
  <si>
    <t xml:space="preserve">Anandapur</t>
  </si>
  <si>
    <t xml:space="preserve">18D</t>
  </si>
  <si>
    <t xml:space="preserve">Suryasen Nagar</t>
  </si>
  <si>
    <t xml:space="preserve">1A</t>
  </si>
  <si>
    <t xml:space="preserve">1B</t>
  </si>
  <si>
    <t xml:space="preserve">Nayabad</t>
  </si>
  <si>
    <t xml:space="preserve">201</t>
  </si>
  <si>
    <t xml:space="preserve">Nimta</t>
  </si>
  <si>
    <t xml:space="preserve">Mahishbathan</t>
  </si>
  <si>
    <t xml:space="preserve">202</t>
  </si>
  <si>
    <t xml:space="preserve">Nagerbazar</t>
  </si>
  <si>
    <t xml:space="preserve">Science City</t>
  </si>
  <si>
    <t xml:space="preserve">204/1</t>
  </si>
  <si>
    <t xml:space="preserve">Chetla Park</t>
  </si>
  <si>
    <t xml:space="preserve">205</t>
  </si>
  <si>
    <t xml:space="preserve">Bansdroni</t>
  </si>
  <si>
    <t xml:space="preserve">Babughat</t>
  </si>
  <si>
    <t xml:space="preserve">205A</t>
  </si>
  <si>
    <t xml:space="preserve">208</t>
  </si>
  <si>
    <t xml:space="preserve">Kudghat</t>
  </si>
  <si>
    <t xml:space="preserve">21</t>
  </si>
  <si>
    <t xml:space="preserve">Barisha</t>
  </si>
  <si>
    <t xml:space="preserve">21/1</t>
  </si>
  <si>
    <t xml:space="preserve">210</t>
  </si>
  <si>
    <t xml:space="preserve">Raichak</t>
  </si>
  <si>
    <t xml:space="preserve">211 (White Board)</t>
  </si>
  <si>
    <t xml:space="preserve">Ahiritola</t>
  </si>
  <si>
    <t xml:space="preserve">Kharibari</t>
  </si>
  <si>
    <t xml:space="preserve">211(Blue Board)</t>
  </si>
  <si>
    <t xml:space="preserve">Shikharpur</t>
  </si>
  <si>
    <t xml:space="preserve">211(Yellow Board)</t>
  </si>
  <si>
    <t xml:space="preserve">Patharghata</t>
  </si>
  <si>
    <t xml:space="preserve">211A</t>
  </si>
  <si>
    <t xml:space="preserve">Langolpota</t>
  </si>
  <si>
    <t xml:space="preserve">212</t>
  </si>
  <si>
    <t xml:space="preserve">Palbazar</t>
  </si>
  <si>
    <t xml:space="preserve">212 (Palbazar (Jadavpur Station) - Howrah Railway Station)</t>
  </si>
  <si>
    <t xml:space="preserve">Palbazar (Jadavpur Station)</t>
  </si>
  <si>
    <t xml:space="preserve">213</t>
  </si>
  <si>
    <t xml:space="preserve">Ghatakpukur</t>
  </si>
  <si>
    <t xml:space="preserve">213A</t>
  </si>
  <si>
    <t xml:space="preserve">214</t>
  </si>
  <si>
    <t xml:space="preserve">Sajirhat</t>
  </si>
  <si>
    <t xml:space="preserve">214A</t>
  </si>
  <si>
    <t xml:space="preserve">Sodepur Girja</t>
  </si>
  <si>
    <t xml:space="preserve">215</t>
  </si>
  <si>
    <t xml:space="preserve">Moonbeam</t>
  </si>
  <si>
    <t xml:space="preserve">215/1</t>
  </si>
  <si>
    <t xml:space="preserve">Laketown(VIP)</t>
  </si>
  <si>
    <t xml:space="preserve">215A</t>
  </si>
  <si>
    <t xml:space="preserve">Salt Lake Sector V</t>
  </si>
  <si>
    <t xml:space="preserve">215A/1</t>
  </si>
  <si>
    <t xml:space="preserve">217</t>
  </si>
  <si>
    <t xml:space="preserve">Beraberi</t>
  </si>
  <si>
    <t xml:space="preserve">217A</t>
  </si>
  <si>
    <t xml:space="preserve">Narayanpur</t>
  </si>
  <si>
    <t xml:space="preserve">217B</t>
  </si>
  <si>
    <t xml:space="preserve">Derozio College</t>
  </si>
  <si>
    <t xml:space="preserve">218</t>
  </si>
  <si>
    <t xml:space="preserve">Baruipur</t>
  </si>
  <si>
    <t xml:space="preserve">219</t>
  </si>
  <si>
    <t xml:space="preserve">219/1</t>
  </si>
  <si>
    <t xml:space="preserve">221</t>
  </si>
  <si>
    <t xml:space="preserve">Golpark</t>
  </si>
  <si>
    <t xml:space="preserve">222</t>
  </si>
  <si>
    <t xml:space="preserve">Bonhooghly</t>
  </si>
  <si>
    <t xml:space="preserve">Behala</t>
  </si>
  <si>
    <t xml:space="preserve">222 (Sakherbazar - Dunlop)</t>
  </si>
  <si>
    <t xml:space="preserve">Sakherbazar</t>
  </si>
  <si>
    <t xml:space="preserve">Dunlop</t>
  </si>
  <si>
    <t xml:space="preserve">223</t>
  </si>
  <si>
    <t xml:space="preserve">B.T. College</t>
  </si>
  <si>
    <t xml:space="preserve">Golf Green</t>
  </si>
  <si>
    <t xml:space="preserve">227</t>
  </si>
  <si>
    <t xml:space="preserve">B.N.R. Hospital</t>
  </si>
  <si>
    <t xml:space="preserve">Bangur Avenue</t>
  </si>
  <si>
    <t xml:space="preserve">228</t>
  </si>
  <si>
    <t xml:space="preserve">Mahamayatala</t>
  </si>
  <si>
    <t xml:space="preserve">23</t>
  </si>
  <si>
    <t xml:space="preserve">Barasat</t>
  </si>
  <si>
    <t xml:space="preserve">Boalghata</t>
  </si>
  <si>
    <t xml:space="preserve">230</t>
  </si>
  <si>
    <t xml:space="preserve">Kamarhati</t>
  </si>
  <si>
    <t xml:space="preserve">Alipore Zoo</t>
  </si>
  <si>
    <t xml:space="preserve">230 (Alipore Zoo - Agarpara Station)</t>
  </si>
  <si>
    <t xml:space="preserve">Agarpara Station</t>
  </si>
  <si>
    <t xml:space="preserve">234</t>
  </si>
  <si>
    <t xml:space="preserve">Belgharia</t>
  </si>
  <si>
    <t xml:space="preserve">234/1</t>
  </si>
  <si>
    <t xml:space="preserve">Belgharia Station</t>
  </si>
  <si>
    <t xml:space="preserve">235</t>
  </si>
  <si>
    <t xml:space="preserve">Amtala</t>
  </si>
  <si>
    <t xml:space="preserve">Karunamoyee</t>
  </si>
  <si>
    <t xml:space="preserve">235 (Amtala - Rajabazar (Saltlake))</t>
  </si>
  <si>
    <t xml:space="preserve">Rajabazar (Saltlake)</t>
  </si>
  <si>
    <t xml:space="preserve">237</t>
  </si>
  <si>
    <t xml:space="preserve">Birati Tantkal</t>
  </si>
  <si>
    <t xml:space="preserve">239 (White Board)</t>
  </si>
  <si>
    <t xml:space="preserve">239 (Yellow Board)</t>
  </si>
  <si>
    <t xml:space="preserve">Shapoorji</t>
  </si>
  <si>
    <t xml:space="preserve">24</t>
  </si>
  <si>
    <t xml:space="preserve">Topsia</t>
  </si>
  <si>
    <t xml:space="preserve">Bandhaghat</t>
  </si>
  <si>
    <t xml:space="preserve">240</t>
  </si>
  <si>
    <t xml:space="preserve">Baghbazar</t>
  </si>
  <si>
    <t xml:space="preserve">240/1</t>
  </si>
  <si>
    <t xml:space="preserve">Garia Station</t>
  </si>
  <si>
    <t xml:space="preserve">241</t>
  </si>
  <si>
    <t xml:space="preserve">Santoshpur Station</t>
  </si>
  <si>
    <t xml:space="preserve">242</t>
  </si>
  <si>
    <t xml:space="preserve">Cossipore</t>
  </si>
  <si>
    <t xml:space="preserve">24A</t>
  </si>
  <si>
    <t xml:space="preserve">24A/1</t>
  </si>
  <si>
    <t xml:space="preserve">Howrah Fire Station</t>
  </si>
  <si>
    <t xml:space="preserve">24B</t>
  </si>
  <si>
    <t xml:space="preserve">259</t>
  </si>
  <si>
    <t xml:space="preserve">Akta Bazar</t>
  </si>
  <si>
    <t xml:space="preserve">260</t>
  </si>
  <si>
    <t xml:space="preserve">Unitech Gate 1</t>
  </si>
  <si>
    <t xml:space="preserve">28</t>
  </si>
  <si>
    <t xml:space="preserve">3</t>
  </si>
  <si>
    <t xml:space="preserve">Khidirpur</t>
  </si>
  <si>
    <t xml:space="preserve">Baguiati</t>
  </si>
  <si>
    <t xml:space="preserve">3 (Dahighat - Sealdah)</t>
  </si>
  <si>
    <t xml:space="preserve">Dahighat</t>
  </si>
  <si>
    <t xml:space="preserve">30A</t>
  </si>
  <si>
    <t xml:space="preserve">Sinthi</t>
  </si>
  <si>
    <t xml:space="preserve">30B</t>
  </si>
  <si>
    <t xml:space="preserve">Gouripur</t>
  </si>
  <si>
    <t xml:space="preserve">30C</t>
  </si>
  <si>
    <t xml:space="preserve">Hatiara</t>
  </si>
  <si>
    <t xml:space="preserve">30C/1</t>
  </si>
  <si>
    <t xml:space="preserve">30D</t>
  </si>
  <si>
    <t xml:space="preserve">Dumdum Canton</t>
  </si>
  <si>
    <t xml:space="preserve">32A</t>
  </si>
  <si>
    <t xml:space="preserve">Dakshineswar</t>
  </si>
  <si>
    <t xml:space="preserve">32A (Dakshineswar - Salt Lake Sector V)</t>
  </si>
  <si>
    <t xml:space="preserve">33</t>
  </si>
  <si>
    <t xml:space="preserve">Paikpara</t>
  </si>
  <si>
    <t xml:space="preserve">34B</t>
  </si>
  <si>
    <t xml:space="preserve">34C</t>
  </si>
  <si>
    <t xml:space="preserve">34C (Noapara - Esplanade)</t>
  </si>
  <si>
    <t xml:space="preserve">Noapara</t>
  </si>
  <si>
    <t xml:space="preserve">37</t>
  </si>
  <si>
    <t xml:space="preserve">Dhakuria</t>
  </si>
  <si>
    <t xml:space="preserve">37A</t>
  </si>
  <si>
    <t xml:space="preserve">39</t>
  </si>
  <si>
    <t xml:space="preserve">Picnic Garden</t>
  </si>
  <si>
    <t xml:space="preserve">High Court</t>
  </si>
  <si>
    <t xml:space="preserve">39A/2</t>
  </si>
  <si>
    <t xml:space="preserve">VIP Bazar</t>
  </si>
  <si>
    <t xml:space="preserve">3B</t>
  </si>
  <si>
    <t xml:space="preserve">New Alipore</t>
  </si>
  <si>
    <t xml:space="preserve">Milk Colony</t>
  </si>
  <si>
    <t xml:space="preserve">3C/1</t>
  </si>
  <si>
    <t xml:space="preserve">3C/2</t>
  </si>
  <si>
    <t xml:space="preserve">3D</t>
  </si>
  <si>
    <t xml:space="preserve">Sakherbazar (Behala)</t>
  </si>
  <si>
    <t xml:space="preserve">40A</t>
  </si>
  <si>
    <t xml:space="preserve">Julpia</t>
  </si>
  <si>
    <t xml:space="preserve">40B</t>
  </si>
  <si>
    <t xml:space="preserve">41</t>
  </si>
  <si>
    <t xml:space="preserve">Layalka</t>
  </si>
  <si>
    <t xml:space="preserve">41B</t>
  </si>
  <si>
    <t xml:space="preserve">Netaji Nagar</t>
  </si>
  <si>
    <t xml:space="preserve">42A</t>
  </si>
  <si>
    <t xml:space="preserve">42B</t>
  </si>
  <si>
    <t xml:space="preserve">43</t>
  </si>
  <si>
    <t xml:space="preserve">44</t>
  </si>
  <si>
    <t xml:space="preserve">44 (Baguiati - Howrah Railway Station)</t>
  </si>
  <si>
    <t xml:space="preserve">44/1</t>
  </si>
  <si>
    <t xml:space="preserve">44A</t>
  </si>
  <si>
    <t xml:space="preserve">45</t>
  </si>
  <si>
    <t xml:space="preserve">Patuli</t>
  </si>
  <si>
    <t xml:space="preserve">Airport Gate 1</t>
  </si>
  <si>
    <t xml:space="preserve">45 (Airport 1 No. - Baishnabghata)</t>
  </si>
  <si>
    <t xml:space="preserve">Airport 1 No.</t>
  </si>
  <si>
    <t xml:space="preserve">Baishnabghata</t>
  </si>
  <si>
    <t xml:space="preserve">45A</t>
  </si>
  <si>
    <t xml:space="preserve">45B</t>
  </si>
  <si>
    <t xml:space="preserve">Sample route</t>
  </si>
  <si>
    <t xml:space="preserve">Sample only (not an official timetable)</t>
  </si>
  <si>
    <t xml:space="preserve">45B (Building More - Garia Station)</t>
  </si>
  <si>
    <t xml:space="preserve">Building More</t>
  </si>
  <si>
    <t xml:space="preserve">46</t>
  </si>
  <si>
    <t xml:space="preserve">Airport</t>
  </si>
  <si>
    <t xml:space="preserve">46 (Airport 1 No. - Esplanade)</t>
  </si>
  <si>
    <t xml:space="preserve">46B</t>
  </si>
  <si>
    <t xml:space="preserve">47/1</t>
  </si>
  <si>
    <t xml:space="preserve">Tollygunge</t>
  </si>
  <si>
    <t xml:space="preserve">47B</t>
  </si>
  <si>
    <t xml:space="preserve">Lake Town</t>
  </si>
  <si>
    <t xml:space="preserve">Dhanmath</t>
  </si>
  <si>
    <t xml:space="preserve">5</t>
  </si>
  <si>
    <t xml:space="preserve">5-N</t>
  </si>
  <si>
    <t xml:space="preserve">Garia</t>
  </si>
  <si>
    <t xml:space="preserve">51</t>
  </si>
  <si>
    <t xml:space="preserve">Pardankuni</t>
  </si>
  <si>
    <t xml:space="preserve">52</t>
  </si>
  <si>
    <t xml:space="preserve">Ramrajatala</t>
  </si>
  <si>
    <t xml:space="preserve">54</t>
  </si>
  <si>
    <t xml:space="preserve">Ballykhal</t>
  </si>
  <si>
    <t xml:space="preserve">55</t>
  </si>
  <si>
    <t xml:space="preserve">B.Garden</t>
  </si>
  <si>
    <t xml:space="preserve">55A</t>
  </si>
  <si>
    <t xml:space="preserve">Shibpur TD</t>
  </si>
  <si>
    <t xml:space="preserve">56</t>
  </si>
  <si>
    <t xml:space="preserve">Ruiya Purbapara</t>
  </si>
  <si>
    <t xml:space="preserve">57</t>
  </si>
  <si>
    <t xml:space="preserve">Kona More</t>
  </si>
  <si>
    <t xml:space="preserve">57A</t>
  </si>
  <si>
    <t xml:space="preserve">Chanditala</t>
  </si>
  <si>
    <t xml:space="preserve">59</t>
  </si>
  <si>
    <t xml:space="preserve">Bakultala</t>
  </si>
  <si>
    <t xml:space="preserve">6-N</t>
  </si>
  <si>
    <t xml:space="preserve">61</t>
  </si>
  <si>
    <t xml:space="preserve">Alampur</t>
  </si>
  <si>
    <t xml:space="preserve">63</t>
  </si>
  <si>
    <t xml:space="preserve">Domjur</t>
  </si>
  <si>
    <t xml:space="preserve">64</t>
  </si>
  <si>
    <t xml:space="preserve">Tulshiberia</t>
  </si>
  <si>
    <t xml:space="preserve">Kulgachia</t>
  </si>
  <si>
    <t xml:space="preserve">67</t>
  </si>
  <si>
    <t xml:space="preserve">Bagnan</t>
  </si>
  <si>
    <t xml:space="preserve">Shibgunge</t>
  </si>
  <si>
    <t xml:space="preserve">67B</t>
  </si>
  <si>
    <t xml:space="preserve">58 Gate</t>
  </si>
  <si>
    <t xml:space="preserve">68</t>
  </si>
  <si>
    <t xml:space="preserve">Kamalpur</t>
  </si>
  <si>
    <t xml:space="preserve">69</t>
  </si>
  <si>
    <t xml:space="preserve">Sankrail</t>
  </si>
  <si>
    <t xml:space="preserve">70</t>
  </si>
  <si>
    <t xml:space="preserve">Amta</t>
  </si>
  <si>
    <t xml:space="preserve">Uluberia</t>
  </si>
  <si>
    <t xml:space="preserve">71</t>
  </si>
  <si>
    <t xml:space="preserve">Howrah Maidan</t>
  </si>
  <si>
    <t xml:space="preserve">72</t>
  </si>
  <si>
    <t xml:space="preserve">Dumurjola</t>
  </si>
  <si>
    <t xml:space="preserve">Park Circus</t>
  </si>
  <si>
    <t xml:space="preserve">72 (Basirhat - Nazat)</t>
  </si>
  <si>
    <t xml:space="preserve">Basirhat</t>
  </si>
  <si>
    <t xml:space="preserve">Nazat</t>
  </si>
  <si>
    <t xml:space="preserve">72A</t>
  </si>
  <si>
    <t xml:space="preserve">Dhamakhali</t>
  </si>
  <si>
    <t xml:space="preserve">73</t>
  </si>
  <si>
    <t xml:space="preserve">Dasnagar</t>
  </si>
  <si>
    <t xml:space="preserve">73 (Habra - Naihati)</t>
  </si>
  <si>
    <t xml:space="preserve">Habra</t>
  </si>
  <si>
    <t xml:space="preserve">Naihati</t>
  </si>
  <si>
    <t xml:space="preserve">75</t>
  </si>
  <si>
    <t xml:space="preserve">Kadamtala</t>
  </si>
  <si>
    <t xml:space="preserve">75 (Raipur - Babughat)</t>
  </si>
  <si>
    <t xml:space="preserve">Raipur</t>
  </si>
  <si>
    <t xml:space="preserve">76</t>
  </si>
  <si>
    <t xml:space="preserve">77</t>
  </si>
  <si>
    <t xml:space="preserve">77A</t>
  </si>
  <si>
    <t xml:space="preserve">Batanagar</t>
  </si>
  <si>
    <t xml:space="preserve">77A (No Bata)</t>
  </si>
  <si>
    <t xml:space="preserve">Birlapur</t>
  </si>
  <si>
    <t xml:space="preserve">78</t>
  </si>
  <si>
    <t xml:space="preserve">Barrackpore</t>
  </si>
  <si>
    <t xml:space="preserve">78 (Bagnan - Joypur)</t>
  </si>
  <si>
    <t xml:space="preserve">Joypur</t>
  </si>
  <si>
    <t xml:space="preserve">78 (Barrackpore Court - Esplanade)</t>
  </si>
  <si>
    <t xml:space="preserve">Barrackpore Court</t>
  </si>
  <si>
    <t xml:space="preserve">78/1</t>
  </si>
  <si>
    <t xml:space="preserve">Rahara Bazar</t>
  </si>
  <si>
    <t xml:space="preserve">78/1 (Parthapur - Babughat)</t>
  </si>
  <si>
    <t xml:space="preserve">Parthapur</t>
  </si>
  <si>
    <t xml:space="preserve">79</t>
  </si>
  <si>
    <t xml:space="preserve">Panchla</t>
  </si>
  <si>
    <t xml:space="preserve">79B</t>
  </si>
  <si>
    <t xml:space="preserve">79D</t>
  </si>
  <si>
    <t xml:space="preserve">Madhyamgram</t>
  </si>
  <si>
    <t xml:space="preserve">7A</t>
  </si>
  <si>
    <t xml:space="preserve">Sarsuna</t>
  </si>
  <si>
    <t xml:space="preserve">80</t>
  </si>
  <si>
    <t xml:space="preserve">Chunavati</t>
  </si>
  <si>
    <t xml:space="preserve">80A</t>
  </si>
  <si>
    <t xml:space="preserve">Kamalgazi</t>
  </si>
  <si>
    <t xml:space="preserve">80A (Garia Metro - Esplanade)</t>
  </si>
  <si>
    <t xml:space="preserve">Garia Metro</t>
  </si>
  <si>
    <t xml:space="preserve">80B</t>
  </si>
  <si>
    <t xml:space="preserve">81</t>
  </si>
  <si>
    <t xml:space="preserve">Fishery Gate</t>
  </si>
  <si>
    <t xml:space="preserve">81/1</t>
  </si>
  <si>
    <t xml:space="preserve">Rajchandrapur</t>
  </si>
  <si>
    <t xml:space="preserve">83</t>
  </si>
  <si>
    <t xml:space="preserve">Falta</t>
  </si>
  <si>
    <t xml:space="preserve">85</t>
  </si>
  <si>
    <t xml:space="preserve">Kanchrapara</t>
  </si>
  <si>
    <t xml:space="preserve">87</t>
  </si>
  <si>
    <t xml:space="preserve">Jaguli</t>
  </si>
  <si>
    <t xml:space="preserve">87A</t>
  </si>
  <si>
    <t xml:space="preserve">Naihati Station</t>
  </si>
  <si>
    <t xml:space="preserve">88</t>
  </si>
  <si>
    <t xml:space="preserve">91</t>
  </si>
  <si>
    <t xml:space="preserve">Shyambazar</t>
  </si>
  <si>
    <t xml:space="preserve">91 (Shyambazar - Bhangore)</t>
  </si>
  <si>
    <t xml:space="preserve">Bhangore</t>
  </si>
  <si>
    <t xml:space="preserve">91A</t>
  </si>
  <si>
    <t xml:space="preserve">Haroa Bridge</t>
  </si>
  <si>
    <t xml:space="preserve">91B</t>
  </si>
  <si>
    <t xml:space="preserve">Pakapole</t>
  </si>
  <si>
    <t xml:space="preserve">92</t>
  </si>
  <si>
    <t xml:space="preserve">Bongaon</t>
  </si>
  <si>
    <t xml:space="preserve">Boyra</t>
  </si>
  <si>
    <t xml:space="preserve">92A</t>
  </si>
  <si>
    <t xml:space="preserve">Duttaphulia</t>
  </si>
  <si>
    <t xml:space="preserve">93</t>
  </si>
  <si>
    <t xml:space="preserve">95</t>
  </si>
  <si>
    <t xml:space="preserve">96C</t>
  </si>
  <si>
    <t xml:space="preserve">96C (Bongaon - Beri Gopalpur)</t>
  </si>
  <si>
    <t xml:space="preserve">Beri Gopalpur</t>
  </si>
  <si>
    <t xml:space="preserve">AC-12 (Shapooji Housing (Sukho Brishti) - Howrah Railway Station)</t>
  </si>
  <si>
    <t xml:space="preserve">AC</t>
  </si>
  <si>
    <t xml:space="preserve">Shapooji Housing (Sukho Brishti)</t>
  </si>
  <si>
    <t xml:space="preserve">AC-12D</t>
  </si>
  <si>
    <t xml:space="preserve">Thakurpukur 3A (Joka)</t>
  </si>
  <si>
    <t xml:space="preserve">AC-14 (Baruipur Fultala - Karunamoyee)</t>
  </si>
  <si>
    <t xml:space="preserve">Baruipur Fultala</t>
  </si>
  <si>
    <t xml:space="preserve">AC-20 (Barrackpore Chiriamore - Santragachi Bus Terminus)</t>
  </si>
  <si>
    <t xml:space="preserve">Barrackpore Chiriamore</t>
  </si>
  <si>
    <t xml:space="preserve">Santragachi Bus Terminus</t>
  </si>
  <si>
    <t xml:space="preserve">AC-23A</t>
  </si>
  <si>
    <t xml:space="preserve">Rajchandrapur (Ballyhalt)</t>
  </si>
  <si>
    <t xml:space="preserve">AC-24 (Patuli - Howrah Railway Station)</t>
  </si>
  <si>
    <t xml:space="preserve">AC-24A</t>
  </si>
  <si>
    <t xml:space="preserve">AC-30</t>
  </si>
  <si>
    <t xml:space="preserve">Lake Town (Jaya Cinema)</t>
  </si>
  <si>
    <t xml:space="preserve">AC-30S (IT Spl.)</t>
  </si>
  <si>
    <t xml:space="preserve">Bidhannagar Station</t>
  </si>
  <si>
    <t xml:space="preserve">Eco Park</t>
  </si>
  <si>
    <t xml:space="preserve">AC-31</t>
  </si>
  <si>
    <t xml:space="preserve">Behala Chowrasta</t>
  </si>
  <si>
    <t xml:space="preserve">Jadavpur 8B</t>
  </si>
  <si>
    <t xml:space="preserve">AC-37 (Barasat Champadali - Garia 6 No.)</t>
  </si>
  <si>
    <t xml:space="preserve">Barasat Champadali</t>
  </si>
  <si>
    <t xml:space="preserve">Garia 6 No.</t>
  </si>
  <si>
    <t xml:space="preserve">AC-37A</t>
  </si>
  <si>
    <t xml:space="preserve">Airport Domestic Terminus</t>
  </si>
  <si>
    <t xml:space="preserve">AC-39 (Airport Domestic Terminus - Howrah Railway Station)</t>
  </si>
  <si>
    <t xml:space="preserve">AC-40</t>
  </si>
  <si>
    <t xml:space="preserve">AC-43 (Golf Green - Airport Domestic Terminus)</t>
  </si>
  <si>
    <t xml:space="preserve">AC-47</t>
  </si>
  <si>
    <t xml:space="preserve">Shapooji Housing</t>
  </si>
  <si>
    <t xml:space="preserve">AC-4A</t>
  </si>
  <si>
    <t xml:space="preserve">AC-4B</t>
  </si>
  <si>
    <t xml:space="preserve">Joka</t>
  </si>
  <si>
    <t xml:space="preserve">New Town</t>
  </si>
  <si>
    <t xml:space="preserve">AC-5 (Garia 5no. Bus Stand - Howrah Railway Station)</t>
  </si>
  <si>
    <t xml:space="preserve">Garia 5no. Bus Stand</t>
  </si>
  <si>
    <t xml:space="preserve">AC-50A</t>
  </si>
  <si>
    <t xml:space="preserve">AC-52</t>
  </si>
  <si>
    <t xml:space="preserve">AC-6 (Garia 6no. Bus stand - Howrah Railway Station)</t>
  </si>
  <si>
    <t xml:space="preserve">Garia 6no. Bus stand</t>
  </si>
  <si>
    <t xml:space="preserve">AC-9 (Jadavpur - Karunamoyee)</t>
  </si>
  <si>
    <t xml:space="preserve">Jadavpur</t>
  </si>
  <si>
    <t xml:space="preserve">AC-9B (Jadavpur - Amity University (Ecospace))</t>
  </si>
  <si>
    <t xml:space="preserve">Amity University (Ecospace)</t>
  </si>
  <si>
    <t xml:space="preserve">AC1</t>
  </si>
  <si>
    <t xml:space="preserve">WBTC (CSTC Division)</t>
  </si>
  <si>
    <t xml:space="preserve">AC10</t>
  </si>
  <si>
    <t xml:space="preserve">Nilgunge</t>
  </si>
  <si>
    <t xml:space="preserve">AC12</t>
  </si>
  <si>
    <t xml:space="preserve">AC14</t>
  </si>
  <si>
    <t xml:space="preserve">AC2</t>
  </si>
  <si>
    <t xml:space="preserve">AC20</t>
  </si>
  <si>
    <t xml:space="preserve">AC24</t>
  </si>
  <si>
    <t xml:space="preserve">Gariahat</t>
  </si>
  <si>
    <t xml:space="preserve">AC37</t>
  </si>
  <si>
    <t xml:space="preserve">Garia Depot</t>
  </si>
  <si>
    <t xml:space="preserve">AC37C</t>
  </si>
  <si>
    <t xml:space="preserve">AC39</t>
  </si>
  <si>
    <t xml:space="preserve">Narendrapur</t>
  </si>
  <si>
    <t xml:space="preserve">AC4</t>
  </si>
  <si>
    <t xml:space="preserve">AC41</t>
  </si>
  <si>
    <t xml:space="preserve">Santragachi</t>
  </si>
  <si>
    <t xml:space="preserve">AC43</t>
  </si>
  <si>
    <t xml:space="preserve">AC49</t>
  </si>
  <si>
    <t xml:space="preserve">Eden City</t>
  </si>
  <si>
    <t xml:space="preserve">AC5</t>
  </si>
  <si>
    <t xml:space="preserve">AC50</t>
  </si>
  <si>
    <t xml:space="preserve">Belurmath</t>
  </si>
  <si>
    <t xml:space="preserve">AC54</t>
  </si>
  <si>
    <t xml:space="preserve">Kamarhati Rathtala</t>
  </si>
  <si>
    <t xml:space="preserve">AC55</t>
  </si>
  <si>
    <t xml:space="preserve">Naihati Bus terminus</t>
  </si>
  <si>
    <t xml:space="preserve">AC59</t>
  </si>
  <si>
    <t xml:space="preserve">AC6</t>
  </si>
  <si>
    <t xml:space="preserve">AC9</t>
  </si>
  <si>
    <t xml:space="preserve">AC9B</t>
  </si>
  <si>
    <t xml:space="preserve">Amta - Airport</t>
  </si>
  <si>
    <t xml:space="preserve">Amta - Mukundapur</t>
  </si>
  <si>
    <t xml:space="preserve">AS-1</t>
  </si>
  <si>
    <t xml:space="preserve">Mathpukur</t>
  </si>
  <si>
    <t xml:space="preserve">Saltlake EE Block Bus Stop</t>
  </si>
  <si>
    <t xml:space="preserve">AS-2</t>
  </si>
  <si>
    <t xml:space="preserve">AS-2a</t>
  </si>
  <si>
    <t xml:space="preserve">Bagnan - Ecospace</t>
  </si>
  <si>
    <t xml:space="preserve">Bally Halt - Saltlake Karunamoyee</t>
  </si>
  <si>
    <t xml:space="preserve">Ballyhalt</t>
  </si>
  <si>
    <t xml:space="preserve">Bandar - Howrah station</t>
  </si>
  <si>
    <t xml:space="preserve">Bandar</t>
  </si>
  <si>
    <t xml:space="preserve">Barasat (Titumir Bus Stand) - Santragachi</t>
  </si>
  <si>
    <t xml:space="preserve">Barasat Titumir Bus Stand</t>
  </si>
  <si>
    <t xml:space="preserve">Barasat - Baruipur</t>
  </si>
  <si>
    <t xml:space="preserve">Barasat - Botanical Garden (B garden)</t>
  </si>
  <si>
    <t xml:space="preserve">Botanical Garden (B garden)</t>
  </si>
  <si>
    <t xml:space="preserve">Barasat - Garia</t>
  </si>
  <si>
    <t xml:space="preserve">Barasat - Santragachi (Newtown Version)</t>
  </si>
  <si>
    <t xml:space="preserve">Santragachi (Newtown Version)</t>
  </si>
  <si>
    <t xml:space="preserve">Bargachia - Sealdah Court</t>
  </si>
  <si>
    <t xml:space="preserve">Bargachia</t>
  </si>
  <si>
    <t xml:space="preserve">Sealdah Court</t>
  </si>
  <si>
    <t xml:space="preserve">Bashirhat - Gadiara</t>
  </si>
  <si>
    <t xml:space="preserve">Gadiara</t>
  </si>
  <si>
    <t xml:space="preserve">Berachampa - Saltlake Karunamoyee</t>
  </si>
  <si>
    <t xml:space="preserve">Berachampa</t>
  </si>
  <si>
    <t xml:space="preserve">Botanical Garden - Dhamakhali</t>
  </si>
  <si>
    <t xml:space="preserve">Botanical Garden</t>
  </si>
  <si>
    <t xml:space="preserve">Boyra - Saltlake Karunamoyee</t>
  </si>
  <si>
    <t xml:space="preserve">C-18</t>
  </si>
  <si>
    <t xml:space="preserve">Dhapa</t>
  </si>
  <si>
    <t xml:space="preserve">C11</t>
  </si>
  <si>
    <t xml:space="preserve">WBTC (CTC Division)</t>
  </si>
  <si>
    <t xml:space="preserve">C11 (Belgachia/ BBD bag/ Sealdah - Domjur)</t>
  </si>
  <si>
    <t xml:space="preserve">Belgachia/ BBD bag/ Sealdah</t>
  </si>
  <si>
    <t xml:space="preserve">C11/1</t>
  </si>
  <si>
    <t xml:space="preserve">C14/1</t>
  </si>
  <si>
    <t xml:space="preserve">Tollygunj Tram Depot</t>
  </si>
  <si>
    <t xml:space="preserve">C20</t>
  </si>
  <si>
    <t xml:space="preserve">C23</t>
  </si>
  <si>
    <t xml:space="preserve">Park Circus 7-Point</t>
  </si>
  <si>
    <t xml:space="preserve">C23 (Dankuni Housing - Park Circus tram Depot)</t>
  </si>
  <si>
    <t xml:space="preserve">Dankuni Housing</t>
  </si>
  <si>
    <t xml:space="preserve">Park Circus tram Depot</t>
  </si>
  <si>
    <t xml:space="preserve">C24</t>
  </si>
  <si>
    <t xml:space="preserve">C26</t>
  </si>
  <si>
    <t xml:space="preserve">Baruipur Fultala Central Terminus</t>
  </si>
  <si>
    <t xml:space="preserve">C26A</t>
  </si>
  <si>
    <t xml:space="preserve">C28</t>
  </si>
  <si>
    <t xml:space="preserve">C28 (Howrah Railway Station - Barrackpore Court)</t>
  </si>
  <si>
    <t xml:space="preserve">C29</t>
  </si>
  <si>
    <t xml:space="preserve">Barrackpur</t>
  </si>
  <si>
    <t xml:space="preserve">C2A</t>
  </si>
  <si>
    <t xml:space="preserve">Ghatatkpukur</t>
  </si>
  <si>
    <t xml:space="preserve">C30</t>
  </si>
  <si>
    <t xml:space="preserve">Rajabazar Tram Depot</t>
  </si>
  <si>
    <t xml:space="preserve">Sankrail Station</t>
  </si>
  <si>
    <t xml:space="preserve">C31</t>
  </si>
  <si>
    <t xml:space="preserve">Bhattanagar</t>
  </si>
  <si>
    <t xml:space="preserve">C36</t>
  </si>
  <si>
    <t xml:space="preserve">Chandmari</t>
  </si>
  <si>
    <t xml:space="preserve">C37</t>
  </si>
  <si>
    <t xml:space="preserve">C38</t>
  </si>
  <si>
    <t xml:space="preserve">C38 (Howrah Railway Station - Joka tram Depot)</t>
  </si>
  <si>
    <t xml:space="preserve">Joka tram Depot</t>
  </si>
  <si>
    <t xml:space="preserve">C39</t>
  </si>
  <si>
    <t xml:space="preserve">C42</t>
  </si>
  <si>
    <t xml:space="preserve">Ganganagar</t>
  </si>
  <si>
    <t xml:space="preserve">C43</t>
  </si>
  <si>
    <t xml:space="preserve">C43 (Habra WBTC depot - Garia 6 No.)</t>
  </si>
  <si>
    <t xml:space="preserve">Habra WBTC depot</t>
  </si>
  <si>
    <t xml:space="preserve">C46</t>
  </si>
  <si>
    <t xml:space="preserve">C7</t>
  </si>
  <si>
    <t xml:space="preserve">C7 (Howrah Railway Station - H M Ghosh College)</t>
  </si>
  <si>
    <t xml:space="preserve">H M Ghosh College</t>
  </si>
  <si>
    <t xml:space="preserve">C8</t>
  </si>
  <si>
    <t xml:space="preserve">C8 (Barasat Kazipara depot - Joka tram Depot)</t>
  </si>
  <si>
    <t xml:space="preserve">Barasat Kazipara depot</t>
  </si>
  <si>
    <t xml:space="preserve">D11</t>
  </si>
  <si>
    <t xml:space="preserve">Baduria</t>
  </si>
  <si>
    <t xml:space="preserve">D17</t>
  </si>
  <si>
    <t xml:space="preserve">KWIC</t>
  </si>
  <si>
    <t xml:space="preserve">D1A</t>
  </si>
  <si>
    <t xml:space="preserve">D2</t>
  </si>
  <si>
    <t xml:space="preserve">D20</t>
  </si>
  <si>
    <t xml:space="preserve">D21</t>
  </si>
  <si>
    <t xml:space="preserve">Howrah Station/Esplanade</t>
  </si>
  <si>
    <t xml:space="preserve">D23</t>
  </si>
  <si>
    <t xml:space="preserve">Kaijuri Bazar</t>
  </si>
  <si>
    <t xml:space="preserve">D26</t>
  </si>
  <si>
    <t xml:space="preserve">Hakimpur</t>
  </si>
  <si>
    <t xml:space="preserve">D28</t>
  </si>
  <si>
    <t xml:space="preserve">Chakla</t>
  </si>
  <si>
    <t xml:space="preserve">D31</t>
  </si>
  <si>
    <t xml:space="preserve">Srinathpur</t>
  </si>
  <si>
    <t xml:space="preserve">D32</t>
  </si>
  <si>
    <t xml:space="preserve">Samshernagar</t>
  </si>
  <si>
    <t xml:space="preserve">D7</t>
  </si>
  <si>
    <t xml:space="preserve">Bagdah</t>
  </si>
  <si>
    <t xml:space="preserve">D8</t>
  </si>
  <si>
    <t xml:space="preserve">D9</t>
  </si>
  <si>
    <t xml:space="preserve">Deulti - Saltlake Karunamoyee</t>
  </si>
  <si>
    <t xml:space="preserve">Deulti</t>
  </si>
  <si>
    <t xml:space="preserve">Dhamakhali Barasat</t>
  </si>
  <si>
    <t xml:space="preserve">Dhulagarh - Sealdah</t>
  </si>
  <si>
    <t xml:space="preserve">Dhulagarh</t>
  </si>
  <si>
    <t xml:space="preserve">Dhulagarh - Unitech</t>
  </si>
  <si>
    <t xml:space="preserve">Unitech</t>
  </si>
  <si>
    <t xml:space="preserve">Digha_Express</t>
  </si>
  <si>
    <t xml:space="preserve">WBTC / SBSTC</t>
  </si>
  <si>
    <t xml:space="preserve">Digha</t>
  </si>
  <si>
    <t xml:space="preserve">DN-16</t>
  </si>
  <si>
    <t xml:space="preserve">DN-5</t>
  </si>
  <si>
    <t xml:space="preserve">DN-8</t>
  </si>
  <si>
    <t xml:space="preserve">DN-9/1</t>
  </si>
  <si>
    <t xml:space="preserve">DN12</t>
  </si>
  <si>
    <t xml:space="preserve">Bongaon Motigunge Bus Stand</t>
  </si>
  <si>
    <t xml:space="preserve">DN12/1</t>
  </si>
  <si>
    <t xml:space="preserve">Hazra</t>
  </si>
  <si>
    <t xml:space="preserve">DN13</t>
  </si>
  <si>
    <t xml:space="preserve">Boshirhat boardghat</t>
  </si>
  <si>
    <t xml:space="preserve">DN13A</t>
  </si>
  <si>
    <t xml:space="preserve">Haroa (upto Kholapota)</t>
  </si>
  <si>
    <t xml:space="preserve">DN16/1</t>
  </si>
  <si>
    <t xml:space="preserve">DN17</t>
  </si>
  <si>
    <t xml:space="preserve">DN18</t>
  </si>
  <si>
    <t xml:space="preserve">DN19</t>
  </si>
  <si>
    <t xml:space="preserve">Chapadali(shuttle)</t>
  </si>
  <si>
    <t xml:space="preserve">DN2</t>
  </si>
  <si>
    <t xml:space="preserve">North 24 Pgs Bus Association</t>
  </si>
  <si>
    <t xml:space="preserve">DN26</t>
  </si>
  <si>
    <t xml:space="preserve">Gaighata (Habra)</t>
  </si>
  <si>
    <t xml:space="preserve">Kalyani (Jagulia)</t>
  </si>
  <si>
    <t xml:space="preserve">DN28</t>
  </si>
  <si>
    <t xml:space="preserve">Haroa</t>
  </si>
  <si>
    <t xml:space="preserve">DN35</t>
  </si>
  <si>
    <t xml:space="preserve">Nabatkati</t>
  </si>
  <si>
    <t xml:space="preserve">DN38</t>
  </si>
  <si>
    <t xml:space="preserve">Bashirhat (Malancha)</t>
  </si>
  <si>
    <t xml:space="preserve">Taranipur</t>
  </si>
  <si>
    <t xml:space="preserve">DN43</t>
  </si>
  <si>
    <t xml:space="preserve">Barasat Moyna Check Post</t>
  </si>
  <si>
    <t xml:space="preserve">DN44</t>
  </si>
  <si>
    <t xml:space="preserve">DN46</t>
  </si>
  <si>
    <t xml:space="preserve">Belgharia Teachers Colony</t>
  </si>
  <si>
    <t xml:space="preserve">DN47</t>
  </si>
  <si>
    <t xml:space="preserve">Barasat Algaria</t>
  </si>
  <si>
    <t xml:space="preserve">Durgapur_Express</t>
  </si>
  <si>
    <t xml:space="preserve">SBSTC</t>
  </si>
  <si>
    <t xml:space="preserve">Durgapur</t>
  </si>
  <si>
    <t xml:space="preserve">E 36 Spl</t>
  </si>
  <si>
    <t xml:space="preserve">E 37A</t>
  </si>
  <si>
    <t xml:space="preserve">E-32</t>
  </si>
  <si>
    <t xml:space="preserve">Neilgunj</t>
  </si>
  <si>
    <t xml:space="preserve">E1</t>
  </si>
  <si>
    <t xml:space="preserve">WBTC (WBSTC Division)</t>
  </si>
  <si>
    <t xml:space="preserve">E12</t>
  </si>
  <si>
    <t xml:space="preserve">Udainarayanpur</t>
  </si>
  <si>
    <t xml:space="preserve">E13</t>
  </si>
  <si>
    <t xml:space="preserve">Jangipara</t>
  </si>
  <si>
    <t xml:space="preserve">E14</t>
  </si>
  <si>
    <t xml:space="preserve">Furfura Sharif</t>
  </si>
  <si>
    <t xml:space="preserve">E15</t>
  </si>
  <si>
    <t xml:space="preserve">E17</t>
  </si>
  <si>
    <t xml:space="preserve">E17/1</t>
  </si>
  <si>
    <t xml:space="preserve">E18</t>
  </si>
  <si>
    <t xml:space="preserve">E19</t>
  </si>
  <si>
    <t xml:space="preserve">E21</t>
  </si>
  <si>
    <t xml:space="preserve">E22</t>
  </si>
  <si>
    <t xml:space="preserve">E24</t>
  </si>
  <si>
    <t xml:space="preserve">Palashipara</t>
  </si>
  <si>
    <t xml:space="preserve">E28</t>
  </si>
  <si>
    <t xml:space="preserve">Bakshi</t>
  </si>
  <si>
    <t xml:space="preserve">E29</t>
  </si>
  <si>
    <t xml:space="preserve">Fatikgachi</t>
  </si>
  <si>
    <t xml:space="preserve">E31</t>
  </si>
  <si>
    <t xml:space="preserve">Garh Bhawanipur</t>
  </si>
  <si>
    <t xml:space="preserve">E31/1</t>
  </si>
  <si>
    <t xml:space="preserve">Jhikira</t>
  </si>
  <si>
    <t xml:space="preserve">E32(Executive Service)</t>
  </si>
  <si>
    <t xml:space="preserve">Nilgaunj Depot</t>
  </si>
  <si>
    <t xml:space="preserve">E35</t>
  </si>
  <si>
    <t xml:space="preserve">Jayrambati</t>
  </si>
  <si>
    <t xml:space="preserve">E36</t>
  </si>
  <si>
    <t xml:space="preserve">E38</t>
  </si>
  <si>
    <t xml:space="preserve">Mayapur</t>
  </si>
  <si>
    <t xml:space="preserve">E4</t>
  </si>
  <si>
    <t xml:space="preserve">E40</t>
  </si>
  <si>
    <t xml:space="preserve">E40/1</t>
  </si>
  <si>
    <t xml:space="preserve">E41</t>
  </si>
  <si>
    <t xml:space="preserve">Asansol</t>
  </si>
  <si>
    <t xml:space="preserve">E43</t>
  </si>
  <si>
    <t xml:space="preserve">Dihibhurshut</t>
  </si>
  <si>
    <t xml:space="preserve">E43A</t>
  </si>
  <si>
    <t xml:space="preserve">Bhebia</t>
  </si>
  <si>
    <t xml:space="preserve">E44</t>
  </si>
  <si>
    <t xml:space="preserve">Radhanagar</t>
  </si>
  <si>
    <t xml:space="preserve">E45</t>
  </si>
  <si>
    <t xml:space="preserve">E46</t>
  </si>
  <si>
    <t xml:space="preserve">E47</t>
  </si>
  <si>
    <t xml:space="preserve">Nahata</t>
  </si>
  <si>
    <t xml:space="preserve">E51</t>
  </si>
  <si>
    <t xml:space="preserve">Bisunupur</t>
  </si>
  <si>
    <t xml:space="preserve">E51A</t>
  </si>
  <si>
    <t xml:space="preserve">Bishnupur</t>
  </si>
  <si>
    <t xml:space="preserve">E53</t>
  </si>
  <si>
    <t xml:space="preserve">Narit</t>
  </si>
  <si>
    <t xml:space="preserve">E54</t>
  </si>
  <si>
    <t xml:space="preserve">Serampore</t>
  </si>
  <si>
    <t xml:space="preserve">E55</t>
  </si>
  <si>
    <t xml:space="preserve">E56</t>
  </si>
  <si>
    <t xml:space="preserve">E57</t>
  </si>
  <si>
    <t xml:space="preserve">Karimpur</t>
  </si>
  <si>
    <t xml:space="preserve">E59</t>
  </si>
  <si>
    <t xml:space="preserve">E6</t>
  </si>
  <si>
    <t xml:space="preserve">E61</t>
  </si>
  <si>
    <t xml:space="preserve">Bakkhali</t>
  </si>
  <si>
    <t xml:space="preserve">E62</t>
  </si>
  <si>
    <t xml:space="preserve">Sitalia</t>
  </si>
  <si>
    <t xml:space="preserve">E66</t>
  </si>
  <si>
    <t xml:space="preserve">Rampurhat</t>
  </si>
  <si>
    <t xml:space="preserve">E67</t>
  </si>
  <si>
    <t xml:space="preserve">Purulia</t>
  </si>
  <si>
    <t xml:space="preserve">E68</t>
  </si>
  <si>
    <t xml:space="preserve">Haldia</t>
  </si>
  <si>
    <t xml:space="preserve">E7</t>
  </si>
  <si>
    <t xml:space="preserve">E70</t>
  </si>
  <si>
    <t xml:space="preserve">Jhargram</t>
  </si>
  <si>
    <t xml:space="preserve">E71</t>
  </si>
  <si>
    <t xml:space="preserve">Udaynaryanpur</t>
  </si>
  <si>
    <t xml:space="preserve">E72</t>
  </si>
  <si>
    <t xml:space="preserve">E73</t>
  </si>
  <si>
    <t xml:space="preserve">E74</t>
  </si>
  <si>
    <t xml:space="preserve">Basubati Darbar Sharif</t>
  </si>
  <si>
    <t xml:space="preserve">E75</t>
  </si>
  <si>
    <t xml:space="preserve">E77</t>
  </si>
  <si>
    <t xml:space="preserve">Sukanta Park</t>
  </si>
  <si>
    <t xml:space="preserve">EB-14</t>
  </si>
  <si>
    <t xml:space="preserve">EB1</t>
  </si>
  <si>
    <t xml:space="preserve">EB3</t>
  </si>
  <si>
    <t xml:space="preserve">Gadiara - Rajarhat</t>
  </si>
  <si>
    <t xml:space="preserve">Rajarhat</t>
  </si>
  <si>
    <t xml:space="preserve">Garia - Ultodanga</t>
  </si>
  <si>
    <t xml:space="preserve">Ultodanga</t>
  </si>
  <si>
    <t xml:space="preserve">Garia Station - Bagbazar</t>
  </si>
  <si>
    <t xml:space="preserve">Garia Station - Kolkata Station</t>
  </si>
  <si>
    <t xml:space="preserve">Kolkata</t>
  </si>
  <si>
    <t xml:space="preserve">Garia Station - Paikpara</t>
  </si>
  <si>
    <t xml:space="preserve">GLS-11</t>
  </si>
  <si>
    <t xml:space="preserve">IC-21</t>
  </si>
  <si>
    <t xml:space="preserve">JM-2</t>
  </si>
  <si>
    <t xml:space="preserve">K1</t>
  </si>
  <si>
    <t xml:space="preserve">Hatishala</t>
  </si>
  <si>
    <t xml:space="preserve">K11</t>
  </si>
  <si>
    <t xml:space="preserve">Rabinrasadan (Exide)</t>
  </si>
  <si>
    <t xml:space="preserve">K4</t>
  </si>
  <si>
    <t xml:space="preserve">Kadamtala - Newtown</t>
  </si>
  <si>
    <t xml:space="preserve">Kamalgazi - Dankuni Housing</t>
  </si>
  <si>
    <t xml:space="preserve">KB12</t>
  </si>
  <si>
    <t xml:space="preserve">Behala Rabindranagar</t>
  </si>
  <si>
    <t xml:space="preserve">KB15</t>
  </si>
  <si>
    <t xml:space="preserve">Santragachi Station</t>
  </si>
  <si>
    <t xml:space="preserve">KB16</t>
  </si>
  <si>
    <t xml:space="preserve">KB17</t>
  </si>
  <si>
    <t xml:space="preserve">Sonarpur</t>
  </si>
  <si>
    <t xml:space="preserve">KB21</t>
  </si>
  <si>
    <t xml:space="preserve">Science City/Chowbagha</t>
  </si>
  <si>
    <t xml:space="preserve">Ganganagar Julien Day School</t>
  </si>
  <si>
    <t xml:space="preserve">KB22</t>
  </si>
  <si>
    <t xml:space="preserve">Jamirgachi</t>
  </si>
  <si>
    <t xml:space="preserve">L238</t>
  </si>
  <si>
    <t xml:space="preserve">M-10</t>
  </si>
  <si>
    <t xml:space="preserve">Diamond Harbour</t>
  </si>
  <si>
    <t xml:space="preserve">Raidighi</t>
  </si>
  <si>
    <t xml:space="preserve">M-14</t>
  </si>
  <si>
    <t xml:space="preserve">M-14 (Dakghar (Chattabazar) - Howrah Railway Station)</t>
  </si>
  <si>
    <t xml:space="preserve">Dakghar (Chattabazar)</t>
  </si>
  <si>
    <t xml:space="preserve">M-15</t>
  </si>
  <si>
    <t xml:space="preserve">Falta Sector 1</t>
  </si>
  <si>
    <t xml:space="preserve">Bijaygunge bazar (Lakshmikantapur)</t>
  </si>
  <si>
    <t xml:space="preserve">M-16</t>
  </si>
  <si>
    <t xml:space="preserve">Burul</t>
  </si>
  <si>
    <t xml:space="preserve">M-24</t>
  </si>
  <si>
    <t xml:space="preserve">Shibtala Math</t>
  </si>
  <si>
    <t xml:space="preserve">M-7B</t>
  </si>
  <si>
    <t xml:space="preserve">M-7C</t>
  </si>
  <si>
    <t xml:space="preserve">Sasthir More</t>
  </si>
  <si>
    <t xml:space="preserve">M-7D</t>
  </si>
  <si>
    <t xml:space="preserve">Sonamukhi Bazar</t>
  </si>
  <si>
    <t xml:space="preserve">Kankurgachi</t>
  </si>
  <si>
    <t xml:space="preserve">M-7E</t>
  </si>
  <si>
    <t xml:space="preserve">Bagpota</t>
  </si>
  <si>
    <t xml:space="preserve">M-7K</t>
  </si>
  <si>
    <t xml:space="preserve">Khudiram Park (Sarsuna)</t>
  </si>
  <si>
    <t xml:space="preserve">Sealdah (Rajabazar T.D. )</t>
  </si>
  <si>
    <t xml:space="preserve">M10 (AC Corporate)</t>
  </si>
  <si>
    <t xml:space="preserve">Rashbehari</t>
  </si>
  <si>
    <t xml:space="preserve">Madhyamgram - Howrah</t>
  </si>
  <si>
    <t xml:space="preserve">Malancha - Kolkata Station</t>
  </si>
  <si>
    <t xml:space="preserve">Malancha</t>
  </si>
  <si>
    <t xml:space="preserve">MIDI - 1</t>
  </si>
  <si>
    <t xml:space="preserve">Minibus_Garia</t>
  </si>
  <si>
    <t xml:space="preserve">Kolkata Minibus Owners Association</t>
  </si>
  <si>
    <t xml:space="preserve">MM3</t>
  </si>
  <si>
    <t xml:space="preserve">Duttapukur</t>
  </si>
  <si>
    <t xml:space="preserve">MM5</t>
  </si>
  <si>
    <t xml:space="preserve">MM6</t>
  </si>
  <si>
    <t xml:space="preserve">Jafarpur(Barasat)</t>
  </si>
  <si>
    <t xml:space="preserve">Chakla(Sohai)</t>
  </si>
  <si>
    <t xml:space="preserve">MM6/1</t>
  </si>
  <si>
    <t xml:space="preserve">Jafarpur</t>
  </si>
  <si>
    <t xml:space="preserve">Bagjola</t>
  </si>
  <si>
    <t xml:space="preserve">MM7</t>
  </si>
  <si>
    <t xml:space="preserve">Basirhat Court</t>
  </si>
  <si>
    <t xml:space="preserve">MN2</t>
  </si>
  <si>
    <t xml:space="preserve">Hasnabad</t>
  </si>
  <si>
    <t xml:space="preserve">Lebukhali</t>
  </si>
  <si>
    <t xml:space="preserve">MN3</t>
  </si>
  <si>
    <t xml:space="preserve">MN6</t>
  </si>
  <si>
    <t xml:space="preserve">Muchighata - Saltlake Karunamoyee</t>
  </si>
  <si>
    <t xml:space="preserve">Muchighata</t>
  </si>
  <si>
    <t xml:space="preserve">Naktala ( Garia ) - Dakshineswar</t>
  </si>
  <si>
    <t xml:space="preserve">Naktala ( Garia )</t>
  </si>
  <si>
    <t xml:space="preserve">NS1</t>
  </si>
  <si>
    <t xml:space="preserve">Ruby / Chittaranjan Cancer Inst</t>
  </si>
  <si>
    <t xml:space="preserve">NS2</t>
  </si>
  <si>
    <t xml:space="preserve">R.G. Kar Hospital</t>
  </si>
  <si>
    <t xml:space="preserve">NS3</t>
  </si>
  <si>
    <t xml:space="preserve">Thakurpukur Hospital</t>
  </si>
  <si>
    <t xml:space="preserve">NS4</t>
  </si>
  <si>
    <t xml:space="preserve">Polerhat - Shyambazar</t>
  </si>
  <si>
    <t xml:space="preserve">Polerhat</t>
  </si>
  <si>
    <t xml:space="preserve">RADHARANI</t>
  </si>
  <si>
    <t xml:space="preserve">RADHARANI PARIBAHAN</t>
  </si>
  <si>
    <t xml:space="preserve">Amlasuli</t>
  </si>
  <si>
    <t xml:space="preserve">Operator timetable (long distance)</t>
  </si>
  <si>
    <t xml:space="preserve">Rajabazar (Dankuni) - Baburhat</t>
  </si>
  <si>
    <t xml:space="preserve">Rajabazar (Dankuni)</t>
  </si>
  <si>
    <t xml:space="preserve">Baburhat</t>
  </si>
  <si>
    <t xml:space="preserve">Rajabazar - Hasnabad</t>
  </si>
  <si>
    <t xml:space="preserve">RT-007</t>
  </si>
  <si>
    <t xml:space="preserve">RT-1</t>
  </si>
  <si>
    <t xml:space="preserve">Salkia Chowrasta</t>
  </si>
  <si>
    <t xml:space="preserve">RT-10</t>
  </si>
  <si>
    <t xml:space="preserve">Kidderpore</t>
  </si>
  <si>
    <t xml:space="preserve">RT-11</t>
  </si>
  <si>
    <t xml:space="preserve">RT-11A</t>
  </si>
  <si>
    <t xml:space="preserve">Rabindra Sadan (Diamond Park)</t>
  </si>
  <si>
    <t xml:space="preserve">RT-13</t>
  </si>
  <si>
    <t xml:space="preserve">Ranihati</t>
  </si>
  <si>
    <t xml:space="preserve">Ahiritola (Rajabazar)</t>
  </si>
  <si>
    <t xml:space="preserve">RT-13A</t>
  </si>
  <si>
    <t xml:space="preserve">Fatickgachi</t>
  </si>
  <si>
    <t xml:space="preserve">RT-18</t>
  </si>
  <si>
    <t xml:space="preserve">RT-1A</t>
  </si>
  <si>
    <t xml:space="preserve">Satyabala</t>
  </si>
  <si>
    <t xml:space="preserve">Sishu Mangal (Kasba)</t>
  </si>
  <si>
    <t xml:space="preserve">RT-2</t>
  </si>
  <si>
    <t xml:space="preserve">RT-20</t>
  </si>
  <si>
    <t xml:space="preserve">RT-20A</t>
  </si>
  <si>
    <t xml:space="preserve">Mourigram</t>
  </si>
  <si>
    <t xml:space="preserve">Saltlake Stadium</t>
  </si>
  <si>
    <t xml:space="preserve">RT-21</t>
  </si>
  <si>
    <t xml:space="preserve">RT-239</t>
  </si>
  <si>
    <t xml:space="preserve">RT-24</t>
  </si>
  <si>
    <t xml:space="preserve">RT-25</t>
  </si>
  <si>
    <t xml:space="preserve">Malipanchghara</t>
  </si>
  <si>
    <t xml:space="preserve">RT-26</t>
  </si>
  <si>
    <t xml:space="preserve">RT-27</t>
  </si>
  <si>
    <t xml:space="preserve">Bankra</t>
  </si>
  <si>
    <t xml:space="preserve">RT-27A</t>
  </si>
  <si>
    <t xml:space="preserve">Park Circus (Ruby Hospital)</t>
  </si>
  <si>
    <t xml:space="preserve">RT-29</t>
  </si>
  <si>
    <t xml:space="preserve">Tikiapara</t>
  </si>
  <si>
    <t xml:space="preserve">RT-3</t>
  </si>
  <si>
    <t xml:space="preserve">RT-30</t>
  </si>
  <si>
    <t xml:space="preserve">Baluhati</t>
  </si>
  <si>
    <t xml:space="preserve">RT-31</t>
  </si>
  <si>
    <t xml:space="preserve">Makardaha</t>
  </si>
  <si>
    <t xml:space="preserve">Rabindra Sadan (Kidderpore)</t>
  </si>
  <si>
    <t xml:space="preserve">RT-32</t>
  </si>
  <si>
    <t xml:space="preserve">Rabindra Sadan (Parnasree)</t>
  </si>
  <si>
    <t xml:space="preserve">RT-34</t>
  </si>
  <si>
    <t xml:space="preserve">Purash</t>
  </si>
  <si>
    <t xml:space="preserve">RT-35</t>
  </si>
  <si>
    <t xml:space="preserve">Hantal</t>
  </si>
  <si>
    <t xml:space="preserve">RT-38</t>
  </si>
  <si>
    <t xml:space="preserve">RT-39</t>
  </si>
  <si>
    <t xml:space="preserve">RT-3A</t>
  </si>
  <si>
    <t xml:space="preserve">Kamardanga</t>
  </si>
  <si>
    <t xml:space="preserve">RT-42</t>
  </si>
  <si>
    <t xml:space="preserve">Danesh Shaikh Lane</t>
  </si>
  <si>
    <t xml:space="preserve">Aliah University</t>
  </si>
  <si>
    <t xml:space="preserve">RT-5</t>
  </si>
  <si>
    <t xml:space="preserve">Japani Gate</t>
  </si>
  <si>
    <t xml:space="preserve">RT-6</t>
  </si>
  <si>
    <t xml:space="preserve">RT-6A</t>
  </si>
  <si>
    <t xml:space="preserve">RT-7</t>
  </si>
  <si>
    <t xml:space="preserve">Howrah Maidan (Amtala Phari)</t>
  </si>
  <si>
    <t xml:space="preserve">RT-8</t>
  </si>
  <si>
    <t xml:space="preserve">Mandirtala</t>
  </si>
  <si>
    <t xml:space="preserve">RT-S/4</t>
  </si>
  <si>
    <t xml:space="preserve">S - 37 (Barasat Kazipara - Garia 6 No.)</t>
  </si>
  <si>
    <t xml:space="preserve">Barasat Kazipara</t>
  </si>
  <si>
    <t xml:space="preserve">S - 62</t>
  </si>
  <si>
    <t xml:space="preserve">S-10 (Airport Gate 3 - Nabanna)</t>
  </si>
  <si>
    <t xml:space="preserve">Airport Gate 3</t>
  </si>
  <si>
    <t xml:space="preserve">S-101</t>
  </si>
  <si>
    <t xml:space="preserve">S-101/1</t>
  </si>
  <si>
    <t xml:space="preserve">S-102</t>
  </si>
  <si>
    <t xml:space="preserve">S-103</t>
  </si>
  <si>
    <t xml:space="preserve">S-104</t>
  </si>
  <si>
    <t xml:space="preserve">Jodhpur Park</t>
  </si>
  <si>
    <t xml:space="preserve">S-106</t>
  </si>
  <si>
    <t xml:space="preserve">Daspara</t>
  </si>
  <si>
    <t xml:space="preserve">S-107</t>
  </si>
  <si>
    <t xml:space="preserve">S-107/1</t>
  </si>
  <si>
    <t xml:space="preserve">S-108</t>
  </si>
  <si>
    <t xml:space="preserve">Kasba Rathtala</t>
  </si>
  <si>
    <t xml:space="preserve">S-109</t>
  </si>
  <si>
    <t xml:space="preserve">Ballygunge Station</t>
  </si>
  <si>
    <t xml:space="preserve">S-10A</t>
  </si>
  <si>
    <t xml:space="preserve">S-11 (Nilgaunj Depot - Esplanade)</t>
  </si>
  <si>
    <t xml:space="preserve">S-110</t>
  </si>
  <si>
    <t xml:space="preserve">S-111</t>
  </si>
  <si>
    <t xml:space="preserve">Lake Road</t>
  </si>
  <si>
    <t xml:space="preserve">S-112</t>
  </si>
  <si>
    <t xml:space="preserve">Garia Station (Naktala)</t>
  </si>
  <si>
    <t xml:space="preserve">S-113</t>
  </si>
  <si>
    <t xml:space="preserve">Harinavi</t>
  </si>
  <si>
    <t xml:space="preserve">S-117</t>
  </si>
  <si>
    <t xml:space="preserve">Kalitala Housing</t>
  </si>
  <si>
    <t xml:space="preserve">S-121</t>
  </si>
  <si>
    <t xml:space="preserve">S-123</t>
  </si>
  <si>
    <t xml:space="preserve">Matiabruz</t>
  </si>
  <si>
    <t xml:space="preserve">S-124</t>
  </si>
  <si>
    <t xml:space="preserve">S-125</t>
  </si>
  <si>
    <t xml:space="preserve">S-126</t>
  </si>
  <si>
    <t xml:space="preserve">S-128</t>
  </si>
  <si>
    <t xml:space="preserve">S-129</t>
  </si>
  <si>
    <t xml:space="preserve">Rabindra Nagar</t>
  </si>
  <si>
    <t xml:space="preserve">S-12D (Thakurpukur 3A - Howrah Railway Station)</t>
  </si>
  <si>
    <t xml:space="preserve">Thakurpukur 3A</t>
  </si>
  <si>
    <t xml:space="preserve">S-12E (Amity University (Ecospace) - Howrah Railway Station)</t>
  </si>
  <si>
    <t xml:space="preserve">S-131</t>
  </si>
  <si>
    <t xml:space="preserve">Joka Bridge</t>
  </si>
  <si>
    <t xml:space="preserve">Ruby</t>
  </si>
  <si>
    <t xml:space="preserve">S-135</t>
  </si>
  <si>
    <t xml:space="preserve">S-139</t>
  </si>
  <si>
    <t xml:space="preserve">S-14 (Garia 6 No. - Karunamoyee)</t>
  </si>
  <si>
    <t xml:space="preserve">S-151</t>
  </si>
  <si>
    <t xml:space="preserve">S-151 (Derozio College - B.B.D. Bagh)</t>
  </si>
  <si>
    <t xml:space="preserve">S-152</t>
  </si>
  <si>
    <t xml:space="preserve">S-158</t>
  </si>
  <si>
    <t xml:space="preserve">S-159</t>
  </si>
  <si>
    <t xml:space="preserve">S-16</t>
  </si>
  <si>
    <t xml:space="preserve">Saltlake</t>
  </si>
  <si>
    <t xml:space="preserve">S-161</t>
  </si>
  <si>
    <t xml:space="preserve">S-163</t>
  </si>
  <si>
    <t xml:space="preserve">S-165</t>
  </si>
  <si>
    <t xml:space="preserve">Phoolbagan</t>
  </si>
  <si>
    <t xml:space="preserve">S-166</t>
  </si>
  <si>
    <t xml:space="preserve">Tangra</t>
  </si>
  <si>
    <t xml:space="preserve">S-166 (Mathpukur - Howrah Railway Station)</t>
  </si>
  <si>
    <t xml:space="preserve">S-167</t>
  </si>
  <si>
    <t xml:space="preserve">S-168</t>
  </si>
  <si>
    <t xml:space="preserve">S-172</t>
  </si>
  <si>
    <t xml:space="preserve">Tegharia</t>
  </si>
  <si>
    <t xml:space="preserve">S-173</t>
  </si>
  <si>
    <t xml:space="preserve">S-175</t>
  </si>
  <si>
    <t xml:space="preserve">New Barrackpore</t>
  </si>
  <si>
    <t xml:space="preserve">S-176</t>
  </si>
  <si>
    <t xml:space="preserve">S-178</t>
  </si>
  <si>
    <t xml:space="preserve">Behala 14no</t>
  </si>
  <si>
    <t xml:space="preserve">S-17A</t>
  </si>
  <si>
    <t xml:space="preserve">Ariadaha (Dakshineswar)</t>
  </si>
  <si>
    <t xml:space="preserve">Kundghat</t>
  </si>
  <si>
    <t xml:space="preserve">S-180</t>
  </si>
  <si>
    <t xml:space="preserve">S-184</t>
  </si>
  <si>
    <t xml:space="preserve">Birati</t>
  </si>
  <si>
    <t xml:space="preserve">S-185</t>
  </si>
  <si>
    <t xml:space="preserve">Nimta Bazar</t>
  </si>
  <si>
    <t xml:space="preserve">S-186</t>
  </si>
  <si>
    <t xml:space="preserve">Uttar Panchannagram</t>
  </si>
  <si>
    <t xml:space="preserve">S-189</t>
  </si>
  <si>
    <t xml:space="preserve">S-21 (Baghbazar - Garia 6 No.)</t>
  </si>
  <si>
    <t xml:space="preserve">S-23A</t>
  </si>
  <si>
    <t xml:space="preserve">S-24N</t>
  </si>
  <si>
    <t xml:space="preserve">S-2N</t>
  </si>
  <si>
    <t xml:space="preserve">S-30 (IT. Spl.)</t>
  </si>
  <si>
    <t xml:space="preserve">S-31 (Behala Chowrasta - Jadavpur 8B)</t>
  </si>
  <si>
    <t xml:space="preserve">S-32 (Barrackpore - Howrah Railway Station)</t>
  </si>
  <si>
    <t xml:space="preserve">S-32A</t>
  </si>
  <si>
    <t xml:space="preserve">S-34B</t>
  </si>
  <si>
    <t xml:space="preserve">Barrackpur Court</t>
  </si>
  <si>
    <t xml:space="preserve">W. B. State University (Barasat)</t>
  </si>
  <si>
    <t xml:space="preserve">S-34C</t>
  </si>
  <si>
    <t xml:space="preserve">State University</t>
  </si>
  <si>
    <t xml:space="preserve">S-3A (Thakurpukur - Sealdah(Rajabajar))</t>
  </si>
  <si>
    <t xml:space="preserve">Sealdah(Rajabajar)</t>
  </si>
  <si>
    <t xml:space="preserve">S-3B</t>
  </si>
  <si>
    <t xml:space="preserve">Behala 14 number</t>
  </si>
  <si>
    <t xml:space="preserve">S-3W</t>
  </si>
  <si>
    <t xml:space="preserve">Thakurpukur 3A bus stand (Joka)</t>
  </si>
  <si>
    <t xml:space="preserve">S-45</t>
  </si>
  <si>
    <t xml:space="preserve">Shakuntala Park</t>
  </si>
  <si>
    <t xml:space="preserve">S-46</t>
  </si>
  <si>
    <t xml:space="preserve">Akra Rabindra Nagar</t>
  </si>
  <si>
    <t xml:space="preserve">S-47</t>
  </si>
  <si>
    <t xml:space="preserve">S-47A</t>
  </si>
  <si>
    <t xml:space="preserve">Behala Airport</t>
  </si>
  <si>
    <t xml:space="preserve">S-4C</t>
  </si>
  <si>
    <t xml:space="preserve">Haridevpur</t>
  </si>
  <si>
    <t xml:space="preserve">S-4D</t>
  </si>
  <si>
    <t xml:space="preserve">S-5 (Garia 5no. Bus Stand - Howrah Railway Station)</t>
  </si>
  <si>
    <t xml:space="preserve">S-57</t>
  </si>
  <si>
    <t xml:space="preserve">Ariadaha</t>
  </si>
  <si>
    <t xml:space="preserve">S-58 (Barrackpore Court - Karunamoyee)</t>
  </si>
  <si>
    <t xml:space="preserve">S-5C</t>
  </si>
  <si>
    <t xml:space="preserve">S-61</t>
  </si>
  <si>
    <t xml:space="preserve">Taratala</t>
  </si>
  <si>
    <t xml:space="preserve">Achipur</t>
  </si>
  <si>
    <t xml:space="preserve">S-63</t>
  </si>
  <si>
    <t xml:space="preserve">Metiabruz Super speciality hospital</t>
  </si>
  <si>
    <t xml:space="preserve">S-64</t>
  </si>
  <si>
    <t xml:space="preserve">New Bus stand</t>
  </si>
  <si>
    <t xml:space="preserve">S-65</t>
  </si>
  <si>
    <t xml:space="preserve">Sankrail Bharat Co-Op</t>
  </si>
  <si>
    <t xml:space="preserve">S-7 (Garia 6no. Bus stand - Howrah Railway Station)</t>
  </si>
  <si>
    <t xml:space="preserve">S-9 (Jadavpur - Karunamoyee)</t>
  </si>
  <si>
    <t xml:space="preserve">S-9A</t>
  </si>
  <si>
    <t xml:space="preserve">S-9C</t>
  </si>
  <si>
    <t xml:space="preserve">S10</t>
  </si>
  <si>
    <t xml:space="preserve">S11</t>
  </si>
  <si>
    <t xml:space="preserve">S12</t>
  </si>
  <si>
    <t xml:space="preserve">S12D</t>
  </si>
  <si>
    <t xml:space="preserve">S12E</t>
  </si>
  <si>
    <t xml:space="preserve">S12G</t>
  </si>
  <si>
    <t xml:space="preserve">S14</t>
  </si>
  <si>
    <t xml:space="preserve">S2</t>
  </si>
  <si>
    <t xml:space="preserve">S21</t>
  </si>
  <si>
    <t xml:space="preserve">S22</t>
  </si>
  <si>
    <t xml:space="preserve">S23</t>
  </si>
  <si>
    <t xml:space="preserve">S24</t>
  </si>
  <si>
    <t xml:space="preserve">S30</t>
  </si>
  <si>
    <t xml:space="preserve">S31</t>
  </si>
  <si>
    <t xml:space="preserve">S32</t>
  </si>
  <si>
    <t xml:space="preserve">S37</t>
  </si>
  <si>
    <t xml:space="preserve">S37A</t>
  </si>
  <si>
    <t xml:space="preserve">S3A</t>
  </si>
  <si>
    <t xml:space="preserve">S4</t>
  </si>
  <si>
    <t xml:space="preserve">S5</t>
  </si>
  <si>
    <t xml:space="preserve">S5/N</t>
  </si>
  <si>
    <t xml:space="preserve">S58</t>
  </si>
  <si>
    <t xml:space="preserve">S59</t>
  </si>
  <si>
    <t xml:space="preserve">S6A</t>
  </si>
  <si>
    <t xml:space="preserve">S7</t>
  </si>
  <si>
    <t xml:space="preserve">S7/N</t>
  </si>
  <si>
    <t xml:space="preserve">S9</t>
  </si>
  <si>
    <t xml:space="preserve">SD-11</t>
  </si>
  <si>
    <t xml:space="preserve">Noorpur</t>
  </si>
  <si>
    <t xml:space="preserve">Patharpratima</t>
  </si>
  <si>
    <t xml:space="preserve">SD-11/1</t>
  </si>
  <si>
    <t xml:space="preserve">Ramganga</t>
  </si>
  <si>
    <t xml:space="preserve">SD-14</t>
  </si>
  <si>
    <t xml:space="preserve">Sahararhat</t>
  </si>
  <si>
    <t xml:space="preserve">SD-16</t>
  </si>
  <si>
    <t xml:space="preserve">Shirakole</t>
  </si>
  <si>
    <t xml:space="preserve">SD-18</t>
  </si>
  <si>
    <t xml:space="preserve">SD-19</t>
  </si>
  <si>
    <t xml:space="preserve">SD-22/1</t>
  </si>
  <si>
    <t xml:space="preserve">Nainan</t>
  </si>
  <si>
    <t xml:space="preserve">SD-24</t>
  </si>
  <si>
    <t xml:space="preserve">Sonakhali</t>
  </si>
  <si>
    <t xml:space="preserve">SD-26</t>
  </si>
  <si>
    <t xml:space="preserve">SD-27</t>
  </si>
  <si>
    <t xml:space="preserve">Dostipur</t>
  </si>
  <si>
    <t xml:space="preserve">SD-29</t>
  </si>
  <si>
    <t xml:space="preserve">SD-3</t>
  </si>
  <si>
    <t xml:space="preserve">SD-30</t>
  </si>
  <si>
    <t xml:space="preserve">SD-33</t>
  </si>
  <si>
    <t xml:space="preserve">Canning</t>
  </si>
  <si>
    <t xml:space="preserve">Jharkhali</t>
  </si>
  <si>
    <t xml:space="preserve">SD-39</t>
  </si>
  <si>
    <t xml:space="preserve">Joynagar</t>
  </si>
  <si>
    <t xml:space="preserve">Kishorimohonpur</t>
  </si>
  <si>
    <t xml:space="preserve">SD-4 (Thakurpukur - Sapuipara)</t>
  </si>
  <si>
    <t xml:space="preserve">Sapuipara</t>
  </si>
  <si>
    <t xml:space="preserve">SD-5</t>
  </si>
  <si>
    <t xml:space="preserve">Khariberia</t>
  </si>
  <si>
    <t xml:space="preserve">SD-50</t>
  </si>
  <si>
    <t xml:space="preserve">SD-51</t>
  </si>
  <si>
    <t xml:space="preserve">Gurudaspur</t>
  </si>
  <si>
    <t xml:space="preserve">Mathurapur Station</t>
  </si>
  <si>
    <t xml:space="preserve">SD-53</t>
  </si>
  <si>
    <t xml:space="preserve">Maipith</t>
  </si>
  <si>
    <t xml:space="preserve">SD-63</t>
  </si>
  <si>
    <t xml:space="preserve">Gadkhali</t>
  </si>
  <si>
    <t xml:space="preserve">SD-64</t>
  </si>
  <si>
    <t xml:space="preserve">Chunakhali</t>
  </si>
  <si>
    <t xml:space="preserve">SD-8</t>
  </si>
  <si>
    <t xml:space="preserve">Bibirhat</t>
  </si>
  <si>
    <t xml:space="preserve">Nandi Bagan</t>
  </si>
  <si>
    <t xml:space="preserve">SD-82</t>
  </si>
  <si>
    <t xml:space="preserve">Kakdwip</t>
  </si>
  <si>
    <t xml:space="preserve">SD-85</t>
  </si>
  <si>
    <t xml:space="preserve">SD-9</t>
  </si>
  <si>
    <t xml:space="preserve">SD-94</t>
  </si>
  <si>
    <t xml:space="preserve">SD4</t>
  </si>
  <si>
    <t xml:space="preserve">South 24 Pgs Bus Association</t>
  </si>
  <si>
    <t xml:space="preserve">Shyambazar - Malancha</t>
  </si>
  <si>
    <t xml:space="preserve">Shyampur - Kolkata Station</t>
  </si>
  <si>
    <t xml:space="preserve">Shyampur</t>
  </si>
  <si>
    <t xml:space="preserve">Siliguri_Express</t>
  </si>
  <si>
    <t xml:space="preserve">NBSTC / WBTC</t>
  </si>
  <si>
    <t xml:space="preserve">Siliguri</t>
  </si>
  <si>
    <t xml:space="preserve">ST-10</t>
  </si>
  <si>
    <t xml:space="preserve">Balaka Housing (EcoPark)</t>
  </si>
  <si>
    <t xml:space="preserve">ST-12</t>
  </si>
  <si>
    <t xml:space="preserve">ST-16</t>
  </si>
  <si>
    <t xml:space="preserve">Jainpur</t>
  </si>
  <si>
    <t xml:space="preserve">ST-21</t>
  </si>
  <si>
    <t xml:space="preserve">Kanmari Bazar</t>
  </si>
  <si>
    <t xml:space="preserve">ST-21 (Ultadanga - Kanmari Bazar)</t>
  </si>
  <si>
    <t xml:space="preserve">ST-22</t>
  </si>
  <si>
    <t xml:space="preserve">Basanti</t>
  </si>
  <si>
    <t xml:space="preserve">ST-22A</t>
  </si>
  <si>
    <t xml:space="preserve">ST-25</t>
  </si>
  <si>
    <t xml:space="preserve">ST-26</t>
  </si>
  <si>
    <t xml:space="preserve">Usthi</t>
  </si>
  <si>
    <t xml:space="preserve">ST-27</t>
  </si>
  <si>
    <t xml:space="preserve">Kakdip</t>
  </si>
  <si>
    <t xml:space="preserve">ST-28</t>
  </si>
  <si>
    <t xml:space="preserve">Namkhana</t>
  </si>
  <si>
    <t xml:space="preserve">ST-29</t>
  </si>
  <si>
    <t xml:space="preserve">Dhola bus stop</t>
  </si>
  <si>
    <t xml:space="preserve">ST-31</t>
  </si>
  <si>
    <t xml:space="preserve">ST-32</t>
  </si>
  <si>
    <t xml:space="preserve">ST-39</t>
  </si>
  <si>
    <t xml:space="preserve">Nimpith</t>
  </si>
  <si>
    <t xml:space="preserve">ST-6</t>
  </si>
  <si>
    <t xml:space="preserve">Techonopolis</t>
  </si>
  <si>
    <t xml:space="preserve">ST-7</t>
  </si>
  <si>
    <t xml:space="preserve">T12</t>
  </si>
  <si>
    <t xml:space="preserve">T2</t>
  </si>
  <si>
    <t xml:space="preserve">Madirtala</t>
  </si>
  <si>
    <t xml:space="preserve">T8</t>
  </si>
  <si>
    <t xml:space="preserve">V-1 (L)</t>
  </si>
  <si>
    <t xml:space="preserve">Airport Terminal</t>
  </si>
  <si>
    <t xml:space="preserve">V1</t>
  </si>
  <si>
    <t xml:space="preserve">V1 (Tollygunge - Airport)</t>
  </si>
  <si>
    <t xml:space="preserve">V9</t>
  </si>
  <si>
    <t xml:space="preserve">VS-1 (Airport Domestic Terminus - Esplanade)</t>
  </si>
  <si>
    <t xml:space="preserve">VS-12</t>
  </si>
  <si>
    <t xml:space="preserve">VS-2 (Airport Domestic Terminus - Howrah Railway Station)</t>
  </si>
  <si>
    <t xml:space="preserve">VS1</t>
  </si>
  <si>
    <t xml:space="preserve">VS10</t>
  </si>
  <si>
    <t xml:space="preserve">Unitech/ Ecospace</t>
  </si>
  <si>
    <t xml:space="preserve">VS14A</t>
  </si>
  <si>
    <t xml:space="preserve">VS2</t>
  </si>
  <si>
    <t xml:space="preserve">VS6</t>
  </si>
  <si>
    <t xml:space="preserve">Priority</t>
  </si>
  <si>
    <t xml:space="preserve">Stop</t>
  </si>
  <si>
    <t xml:space="preserve">GPS status</t>
  </si>
  <si>
    <t xml:space="preserve">Routes using this stop</t>
  </si>
  <si>
    <t xml:space="preserve">Routes completed if this stop is located</t>
  </si>
  <si>
    <t xml:space="preserve">Timetabled routes using it</t>
  </si>
  <si>
    <t xml:space="preserve">Neighbours on its busiest route</t>
  </si>
  <si>
    <t xml:space="preserve">Example routes</t>
  </si>
  <si>
    <t xml:space="preserve">Has a GPS point, needs checking</t>
  </si>
  <si>
    <t xml:space="preserve">[Garia Depot] -&gt; Jadavpur 8B</t>
  </si>
  <si>
    <t xml:space="preserve">AC37; AC5; AC6; S21</t>
  </si>
  <si>
    <t xml:space="preserve">Shyambazar -&gt; [R.G. Kar Hospital] -&gt; Belgachia</t>
  </si>
  <si>
    <t xml:space="preserve">211A; 215/1; 219; 219/1</t>
  </si>
  <si>
    <t xml:space="preserve">No GPS</t>
  </si>
  <si>
    <t xml:space="preserve">Berachampa -&gt; [Ramnagar] -&gt; Adampur</t>
  </si>
  <si>
    <t xml:space="preserve">1; 12; 12 (Shuttle); 12A</t>
  </si>
  <si>
    <t xml:space="preserve">Ranihati -&gt; [Dhulagarh] -&gt; Alampur</t>
  </si>
  <si>
    <t xml:space="preserve">77; 79; Amta - Airport; Amta - Mukundapur</t>
  </si>
  <si>
    <t xml:space="preserve">Dunlop -&gt; [Bonhooghly] -&gt; Tobin Road</t>
  </si>
  <si>
    <t xml:space="preserve">214; 214A; 222; 222 (Sakherbazar - Dunlop)</t>
  </si>
  <si>
    <t xml:space="preserve">Chittaranjan Hospital</t>
  </si>
  <si>
    <t xml:space="preserve">Entally -&gt; [Chittaranjan Hospital] -&gt; Park Circus 4 number</t>
  </si>
  <si>
    <t xml:space="preserve">204/1; 213A; 240; 24A/1</t>
  </si>
  <si>
    <t xml:space="preserve">Madhyamgram Chowmatha -&gt; [B.T. College] -&gt; Birati</t>
  </si>
  <si>
    <t xml:space="preserve">223; 79B; 79D; 93</t>
  </si>
  <si>
    <t xml:space="preserve">Thakurpukur -&gt; [Joka Bridge] -&gt; Pailan</t>
  </si>
  <si>
    <t xml:space="preserve">12C (Pailan - Howrah Railway Station); 12C/1A; 12C/1B; 210</t>
  </si>
  <si>
    <t xml:space="preserve">Shanpur More</t>
  </si>
  <si>
    <t xml:space="preserve">Dasnagar -&gt; [Shanpur More] -&gt; Tikiapara</t>
  </si>
  <si>
    <t xml:space="preserve">63; 72; 73; 75</t>
  </si>
  <si>
    <t xml:space="preserve">Rathtala</t>
  </si>
  <si>
    <t xml:space="preserve">Kamarhati -&gt; [Rathtala] -&gt; Dunlop</t>
  </si>
  <si>
    <t xml:space="preserve">201; 214; 214A; 230 (Alipore Zoo - Agarpara Station)</t>
  </si>
  <si>
    <t xml:space="preserve">Malancha Cinema</t>
  </si>
  <si>
    <t xml:space="preserve">Ranikuthi -&gt; [Malancha Cinema] -&gt; Tollygunge</t>
  </si>
  <si>
    <t xml:space="preserve">205A; 228; 41; 41B</t>
  </si>
  <si>
    <t xml:space="preserve">Toll Tax</t>
  </si>
  <si>
    <t xml:space="preserve">Hastings -&gt; [Toll Tax] -&gt; Carry Road</t>
  </si>
  <si>
    <t xml:space="preserve">AC-20 (Barrackpore Chiriamore - Santragachi Bus Terminus); AC41; C11 (Belgachia/ BBD bag/ Sealdah - Domjur); C20</t>
  </si>
  <si>
    <t xml:space="preserve">Birati -&gt; [Airport Gate 3] -&gt; Airport 1 No.</t>
  </si>
  <si>
    <t xml:space="preserve">223; 237; 30B; 79B</t>
  </si>
  <si>
    <t xml:space="preserve">Khanna</t>
  </si>
  <si>
    <t xml:space="preserve">Gouribari -&gt; [Khanna] -&gt; Maniktala</t>
  </si>
  <si>
    <t xml:space="preserve">15 (Ultadanga - Howrah Railway Station); 33; 3C/1; 3D</t>
  </si>
  <si>
    <t xml:space="preserve">E.M. Bypass</t>
  </si>
  <si>
    <t xml:space="preserve">Nicco Park -&gt; [E.M. Bypass] -&gt; Chingrighata</t>
  </si>
  <si>
    <t xml:space="preserve">1A; 240/1; 24A/1; 47B</t>
  </si>
  <si>
    <t xml:space="preserve">Airport Gate 1 -&gt; [Airport Domestic Terminus]</t>
  </si>
  <si>
    <t xml:space="preserve">AC-37A; AC-39 (Airport Domestic Terminus - Howrah Railway Station); AC-43 (Golf Green - Airport Domestic Terminus); AC37C</t>
  </si>
  <si>
    <t xml:space="preserve">4no. Bridge</t>
  </si>
  <si>
    <t xml:space="preserve">Topsia -&gt; [4no. Bridge] -&gt; Zeeshan Crossing</t>
  </si>
  <si>
    <t xml:space="preserve">202; 204/1; 213A; 24A/1</t>
  </si>
  <si>
    <t xml:space="preserve">Lokenath Mandir</t>
  </si>
  <si>
    <t xml:space="preserve">Noapara -&gt; [Lokenath Mandir] -&gt; Jagannathpur</t>
  </si>
  <si>
    <t xml:space="preserve">211 (White Board); 211(Blue Board); 211(Yellow Board); 211A</t>
  </si>
  <si>
    <t xml:space="preserve">Shipping Corporation</t>
  </si>
  <si>
    <t xml:space="preserve">GPO -&gt; [Shipping Corporation] -&gt; Burrabazar</t>
  </si>
  <si>
    <t xml:space="preserve">AC-12 (Shapooji Housing (Sukho Brishti) - Howrah Railway Station); AC-12D; AC-24 (Patuli - Howrah Railway Station); AC-24A</t>
  </si>
  <si>
    <t xml:space="preserve">TCS Gitanjali</t>
  </si>
  <si>
    <t xml:space="preserve">Unitech Gate 2 -&gt; [TCS Gitanjali] -&gt; Amity University (Ecospace)</t>
  </si>
  <si>
    <t xml:space="preserve">AC-23A; AC-30S (IT Spl.); AC-9B (Jadavpur - Amity University (Ecospace)); S-30 (IT. Spl.)</t>
  </si>
  <si>
    <t xml:space="preserve">Central Ave</t>
  </si>
  <si>
    <t xml:space="preserve">Shyambazar -&gt; [Central Ave] -&gt; Esplanade</t>
  </si>
  <si>
    <t xml:space="preserve">230; 78; S21</t>
  </si>
  <si>
    <t xml:space="preserve">Mahabirtala</t>
  </si>
  <si>
    <t xml:space="preserve">Tollygunge -&gt; [Mahabirtala] -&gt; New Alipore</t>
  </si>
  <si>
    <t xml:space="preserve">21; 21/1; 37; 40A</t>
  </si>
  <si>
    <t xml:space="preserve">Kasba</t>
  </si>
  <si>
    <t xml:space="preserve">Acropolis -&gt; [Kasba] -&gt; Ballygunge Station</t>
  </si>
  <si>
    <t xml:space="preserve">3C/1; 3C/2; AC-24 (Patuli - Howrah Railway Station); AC-24A</t>
  </si>
  <si>
    <t xml:space="preserve">Salap</t>
  </si>
  <si>
    <t xml:space="preserve">Bankra -&gt; [Salap] -&gt; Ankurhati</t>
  </si>
  <si>
    <t xml:space="preserve">Amta - Airport; Bagnan - Ecospace; Bandar - Howrah station; Bargachia - Sealdah Court</t>
  </si>
  <si>
    <t xml:space="preserve">Don Bosco -&gt; [Bandhaghat] -&gt; Golabarai PS</t>
  </si>
  <si>
    <t xml:space="preserve">24; 24A; 51; 54</t>
  </si>
  <si>
    <t xml:space="preserve">Bhawani Bhawan</t>
  </si>
  <si>
    <t xml:space="preserve">P.T.S. More -&gt; [Bhawani Bhawan] -&gt; Mominpore</t>
  </si>
  <si>
    <t xml:space="preserve">210; 228; 80A (Garia Metro - Esplanade); S-121</t>
  </si>
  <si>
    <t xml:space="preserve">Bhojerhat</t>
  </si>
  <si>
    <t xml:space="preserve">Calcutta Leather Complex (Covers All 3 Gates) -&gt; [Bhojerhat] -&gt; Nalmuri</t>
  </si>
  <si>
    <t xml:space="preserve">213; 213A; Botanical Garden - Dhamakhali; C2A</t>
  </si>
  <si>
    <t xml:space="preserve">Mohanpur</t>
  </si>
  <si>
    <t xml:space="preserve">Nilgunge -&gt; [Mohanpur] -&gt; Nonachandanpukur</t>
  </si>
  <si>
    <t xml:space="preserve">81; 81/1; C29; DN-5</t>
  </si>
  <si>
    <t xml:space="preserve">Ankurhati</t>
  </si>
  <si>
    <t xml:space="preserve">Alampur -&gt; [Ankurhati] -&gt; Nibra</t>
  </si>
  <si>
    <t xml:space="preserve">79; Amta - Airport; Amta - Mukundapur; Dhulagarh - Sealdah</t>
  </si>
  <si>
    <t xml:space="preserve">Mallick Fatak</t>
  </si>
  <si>
    <t xml:space="preserve">Shibpur Bazar -&gt; [Mallick Fatak] -&gt; Howrah Maidan</t>
  </si>
  <si>
    <t xml:space="preserve">52; 55; 55A; 59</t>
  </si>
  <si>
    <t xml:space="preserve">Don Bosco -&gt; [Salkia Chowrasta] -&gt; Golabarai PS</t>
  </si>
  <si>
    <t xml:space="preserve">24; 51; 54; 56</t>
  </si>
  <si>
    <t xml:space="preserve">Ghusighata</t>
  </si>
  <si>
    <t xml:space="preserve">Chandipur -&gt; [Ghusighata] -&gt; Bamanpukur</t>
  </si>
  <si>
    <t xml:space="preserve">Botanical Garden - Dhamakhali; D21; DN16/1; E18</t>
  </si>
  <si>
    <t xml:space="preserve">Tehatta</t>
  </si>
  <si>
    <t xml:space="preserve">Chapra -&gt; [Tehatta] -&gt; Karimpur</t>
  </si>
  <si>
    <t xml:space="preserve">E21; E22; E24; E57</t>
  </si>
  <si>
    <t xml:space="preserve">B.K.Paul More</t>
  </si>
  <si>
    <t xml:space="preserve">Ahiritola -&gt; [B.K.Paul More] -&gt; Sovabazar</t>
  </si>
  <si>
    <t xml:space="preserve">Beleghata Sales Tax</t>
  </si>
  <si>
    <t xml:space="preserve">CIT More -&gt; [Beleghata Sales Tax] -&gt; Sealdah</t>
  </si>
  <si>
    <t xml:space="preserve">S-12E (Amity University (Ecospace) - Howrah Railway Station); S12G; S59</t>
  </si>
  <si>
    <t xml:space="preserve">Kazipara More</t>
  </si>
  <si>
    <t xml:space="preserve">Narayana Hospital -&gt; [Kazipara More] -&gt; Avani Mall</t>
  </si>
  <si>
    <t xml:space="preserve">55; 59; 61; 69</t>
  </si>
  <si>
    <t xml:space="preserve">Michael Nagar</t>
  </si>
  <si>
    <t xml:space="preserve">B.T. College -&gt; [Michael Nagar] -&gt; Birati</t>
  </si>
  <si>
    <t xml:space="preserve">Salap More</t>
  </si>
  <si>
    <t xml:space="preserve">Santragachi -&gt; [Salap More] -&gt; Makardaha</t>
  </si>
  <si>
    <t xml:space="preserve">63; 79; C11 (Belgachia/ BBD bag/ Sealdah - Domjur); C11/1</t>
  </si>
  <si>
    <t xml:space="preserve">Bataitala Phari</t>
  </si>
  <si>
    <t xml:space="preserve">Narayana Hospital -&gt; [Bataitala Phari] -&gt; Avani Mall</t>
  </si>
  <si>
    <t xml:space="preserve">B.T. College -&gt; [Gouripur] -&gt; Birati</t>
  </si>
  <si>
    <t xml:space="preserve">30B; Barasat (Titumir Bus Stand) - Santragachi; Barasat - Baruipur; Barasat - Botanical Garden (B garden)</t>
  </si>
  <si>
    <t xml:space="preserve">[Kestor More] -&gt; Sarsuna</t>
  </si>
  <si>
    <t xml:space="preserve">18C; M-7E</t>
  </si>
  <si>
    <t xml:space="preserve">Malapara</t>
  </si>
  <si>
    <t xml:space="preserve">Barabazar -&gt; [Malapara] -&gt; Jorabagan</t>
  </si>
  <si>
    <t xml:space="preserve">215A; RT-13; RT-13A; RT-20</t>
  </si>
  <si>
    <t xml:space="preserve">Posta Bazar</t>
  </si>
  <si>
    <t xml:space="preserve">Barabazar -&gt; [Posta Bazar] -&gt; Jorabagan</t>
  </si>
  <si>
    <t xml:space="preserve">Bondel Gate</t>
  </si>
  <si>
    <t xml:space="preserve">Kustia More -&gt; [Bondel Gate] -&gt; Ballygunge Phari</t>
  </si>
  <si>
    <t xml:space="preserve">33; 39; 39A/2; 42A</t>
  </si>
  <si>
    <t xml:space="preserve">Doltala</t>
  </si>
  <si>
    <t xml:space="preserve">Madhyamgram Chowmatha -&gt; [Doltala] -&gt; B.T. College</t>
  </si>
  <si>
    <t xml:space="preserve">Barasat (Titumir Bus Stand) - Santragachi; Barasat - Baruipur; Barasat - Botanical Garden (B garden); Barasat - Garia</t>
  </si>
  <si>
    <t xml:space="preserve">Kanthi</t>
  </si>
  <si>
    <t xml:space="preserve">Nandakumar -&gt; [Kanthi] -&gt; Digha</t>
  </si>
  <si>
    <t xml:space="preserve">E17; E17/1; E19; E40</t>
  </si>
  <si>
    <t xml:space="preserve">Mosat</t>
  </si>
  <si>
    <t xml:space="preserve">Chanditala -&gt; [Mosat] -&gt; Sheakhala</t>
  </si>
  <si>
    <t xml:space="preserve">E14; E35; E44; E51</t>
  </si>
  <si>
    <t xml:space="preserve">Narayana Hospital</t>
  </si>
  <si>
    <t xml:space="preserve">Amtala Phari -&gt; [Narayana Hospital] -&gt; Mandirtala</t>
  </si>
  <si>
    <t xml:space="preserve">59; 61; 69; 80</t>
  </si>
  <si>
    <t xml:space="preserve">C.A Island</t>
  </si>
  <si>
    <t xml:space="preserve">PNB -&gt; [C.A Island] -&gt; City Center 1</t>
  </si>
  <si>
    <t xml:space="preserve">AC59; Boyra - Saltlake Karunamoyee; KB16; S-16</t>
  </si>
  <si>
    <t xml:space="preserve">Chapadali More</t>
  </si>
  <si>
    <t xml:space="preserve">Barasat -&gt; [Chapadali More] -&gt; Colony More</t>
  </si>
  <si>
    <t xml:space="preserve">23; 79B; 81; 81/1</t>
  </si>
  <si>
    <t xml:space="preserve">Chingrihata</t>
  </si>
  <si>
    <t xml:space="preserve">Mani Square -&gt; [Chingrihata] -&gt; Mathpukur</t>
  </si>
  <si>
    <t xml:space="preserve">AC-4B; DN16/1; Garia - Ultodanga; Kadamtala - Newtown</t>
  </si>
  <si>
    <t xml:space="preserve">M.G Road crossing</t>
  </si>
  <si>
    <t xml:space="preserve">Girish Park -&gt; [M.G Road crossing] -&gt; Central</t>
  </si>
  <si>
    <t xml:space="preserve">AC-20 (Barrackpore Chiriamore - Santragachi Bus Terminus); AC-30; AC-39 (Airport Domestic Terminus - Howrah Railway Station); MIDI - 1</t>
  </si>
  <si>
    <t xml:space="preserve">Park Circus 4 number bridge</t>
  </si>
  <si>
    <t xml:space="preserve">Don Bosco Crossing -&gt; [Park Circus 4 number bridge] -&gt; Topsia</t>
  </si>
  <si>
    <t xml:space="preserve">AC-12 (Shapooji Housing (Sukho Brishti) - Howrah Railway Station); AC41; C23 (Dankuni Housing - Park Circus tram Depot); VS-12</t>
  </si>
  <si>
    <t xml:space="preserve">Saltlake P.N.B</t>
  </si>
  <si>
    <t xml:space="preserve">City Center 1 -&gt; [Saltlake P.N.B] -&gt; Ultadanga</t>
  </si>
  <si>
    <t xml:space="preserve">201; 215A; 215A/1; 260</t>
  </si>
  <si>
    <t xml:space="preserve">Ranihati -&gt; [Amta] -&gt; Nischintapur</t>
  </si>
  <si>
    <t xml:space="preserve">70; 76; 77; Amta - Airport</t>
  </si>
  <si>
    <t xml:space="preserve">Baranagar Bazar</t>
  </si>
  <si>
    <t xml:space="preserve">Alambazar -&gt; [Baranagar Bazar] -&gt; Baghbazar</t>
  </si>
  <si>
    <t xml:space="preserve">34B; 43; S-158; S-17A</t>
  </si>
  <si>
    <t xml:space="preserve">Boralighat</t>
  </si>
  <si>
    <t xml:space="preserve">Calcutta Leather Complex (Covers All 3 Gates) -&gt; [Boralighat] -&gt; Nalmuri</t>
  </si>
  <si>
    <t xml:space="preserve">Iswarigacha</t>
  </si>
  <si>
    <t xml:space="preserve">Kalyangarh More -&gt; [Iswarigacha] -&gt; Beledanga</t>
  </si>
  <si>
    <t xml:space="preserve">73 (Habra - Naihati); D11; D2; D8</t>
  </si>
  <si>
    <t xml:space="preserve">Kantatala</t>
  </si>
  <si>
    <t xml:space="preserve">Bamanghata -&gt; [Kantatala] -&gt; Calcutta Leather Complex (Covers All 3 Gates)</t>
  </si>
  <si>
    <t xml:space="preserve">Lal bazar</t>
  </si>
  <si>
    <t xml:space="preserve">Central -&gt; [Lal bazar] -&gt; B.B.D. Bagh</t>
  </si>
  <si>
    <t xml:space="preserve">AC-39 (Airport Domestic Terminus - Howrah Railway Station); C11 (Belgachia/ BBD bag/ Sealdah - Domjur); C30; C36</t>
  </si>
  <si>
    <t xml:space="preserve">Mollargate</t>
  </si>
  <si>
    <t xml:space="preserve">Bata More -&gt; [Mollargate] -&gt; Jhinjhira Bazar</t>
  </si>
  <si>
    <t xml:space="preserve">13C; 259; 77A; 77A (No Bata)</t>
  </si>
  <si>
    <t xml:space="preserve">Jadavpur 8B -&gt; [Palbazar] -&gt; Garfa Road</t>
  </si>
  <si>
    <t xml:space="preserve">212; SD-4 (Thakurpukur - Sapuipara)</t>
  </si>
  <si>
    <t xml:space="preserve">Sarberia</t>
  </si>
  <si>
    <t xml:space="preserve">Agarhati -&gt; [Sarberia] -&gt; Dhamakhali</t>
  </si>
  <si>
    <t xml:space="preserve">72A; Botanical Garden - Dhamakhali; DN16/1; E18</t>
  </si>
  <si>
    <t xml:space="preserve">[Shapooji Housing] -&gt; Unitech Gate 1</t>
  </si>
  <si>
    <t xml:space="preserve">AC-47; ST-12; ST-16; ST-7</t>
  </si>
  <si>
    <t xml:space="preserve">Alipore</t>
  </si>
  <si>
    <t xml:space="preserve">Behala -&gt; [Alipore] -&gt; Exide</t>
  </si>
  <si>
    <t xml:space="preserve">Apollo Gleneagles</t>
  </si>
  <si>
    <t xml:space="preserve">Ultadanga -&gt; [Apollo Gleneagles] -&gt; VIP Road</t>
  </si>
  <si>
    <t xml:space="preserve">Asharu Bazar</t>
  </si>
  <si>
    <t xml:space="preserve">Patshimulia -&gt; [Asharu Bazar] -&gt; Helencha</t>
  </si>
  <si>
    <t xml:space="preserve">92; 92A; D7</t>
  </si>
  <si>
    <t xml:space="preserve">BT Road</t>
  </si>
  <si>
    <t xml:space="preserve">Dunlop -&gt; [BT Road] -&gt; Shyambazar</t>
  </si>
  <si>
    <t xml:space="preserve">Belpukur</t>
  </si>
  <si>
    <t xml:space="preserve">Karanjali -&gt; [Belpukur] -&gt; Milan More</t>
  </si>
  <si>
    <t xml:space="preserve">67; 67B; 68; SD-11</t>
  </si>
  <si>
    <t xml:space="preserve">Charu Market</t>
  </si>
  <si>
    <t xml:space="preserve">Rashbehari -&gt; [Charu Market] -&gt; Tollygunge</t>
  </si>
  <si>
    <t xml:space="preserve">Dakghar</t>
  </si>
  <si>
    <t xml:space="preserve">[Dakghar] -&gt; Jhinjhira Bazar</t>
  </si>
  <si>
    <t xml:space="preserve">259; 77A; 77A (No Bata); AC49</t>
  </si>
  <si>
    <t xml:space="preserve">Dalanghata</t>
  </si>
  <si>
    <t xml:space="preserve">Diamond Harbour -&gt; [Dalanghata] -&gt; Hatugunge</t>
  </si>
  <si>
    <t xml:space="preserve">M-10; M-15; M-16; SD-11</t>
  </si>
  <si>
    <t xml:space="preserve">Gabberia</t>
  </si>
  <si>
    <t xml:space="preserve">Jala Biswanathpur -&gt; [Gabberia] -&gt; Ranihati</t>
  </si>
  <si>
    <t xml:space="preserve">Amta - Airport; Amta - Mukundapur; E31; E31/1</t>
  </si>
  <si>
    <t xml:space="preserve">Dasnagar -&gt; [Japani Gate] -&gt; Bankra</t>
  </si>
  <si>
    <t xml:space="preserve">63; E43; E53; RT-27</t>
  </si>
  <si>
    <t xml:space="preserve">Thakurpukur 3A -&gt; [Joka tram Depot]</t>
  </si>
  <si>
    <t xml:space="preserve">C38 (Howrah Railway Station - Joka tram Depot); C8 (Barasat Kazipara depot - Joka tram Depot); ST-25; ST-26</t>
  </si>
  <si>
    <t xml:space="preserve">Kishanganj</t>
  </si>
  <si>
    <t xml:space="preserve">Malda -&gt; [Kishanganj] -&gt; Siliguri</t>
  </si>
  <si>
    <t xml:space="preserve">Lenin Sarani</t>
  </si>
  <si>
    <t xml:space="preserve">Esplanade -&gt; [Lenin Sarani] -&gt; Moulali</t>
  </si>
  <si>
    <t xml:space="preserve">Nimdighi</t>
  </si>
  <si>
    <t xml:space="preserve">Panchla -&gt; [Nimdighi] -&gt; Dhulasimla</t>
  </si>
  <si>
    <t xml:space="preserve">70; Bashirhat - Gadiara; E15; E17</t>
  </si>
  <si>
    <t xml:space="preserve">Paglarhat</t>
  </si>
  <si>
    <t xml:space="preserve">Leather Complex -&gt; [Paglarhat] -&gt; Nalmuri</t>
  </si>
  <si>
    <t xml:space="preserve">R.B.Ave</t>
  </si>
  <si>
    <t xml:space="preserve">Gariahat -&gt; [R.B.Ave] -&gt; Hazra</t>
  </si>
  <si>
    <t xml:space="preserve">5-N; 6-N; S-5C</t>
  </si>
  <si>
    <t xml:space="preserve">Bata More -&gt; [S.M. Nagar] -&gt; Jhinjhira Bazar</t>
  </si>
  <si>
    <t xml:space="preserve">13A; 13C; 259; 77A</t>
  </si>
  <si>
    <t xml:space="preserve">Jadavpur PS -&gt; [Sapuipara] -&gt; Kalikapur</t>
  </si>
  <si>
    <t xml:space="preserve">212 (Palbazar (Jadavpur Station) - Howrah Railway Station); 47B; AC-43 (Golf Green - Airport Domestic Terminus); AC-4A</t>
  </si>
  <si>
    <t xml:space="preserve">Sarkarpool</t>
  </si>
  <si>
    <t xml:space="preserve">Bata More -&gt; [Sarkarpool] -&gt; Jhinjhira Bazar</t>
  </si>
  <si>
    <t xml:space="preserve">Wireless More</t>
  </si>
  <si>
    <t xml:space="preserve">Paltapara -&gt; [Wireless More] -&gt; Nilgaunj</t>
  </si>
  <si>
    <t xml:space="preserve">81; 81/1; AC55; C29</t>
  </si>
  <si>
    <t xml:space="preserve">Bibibazar</t>
  </si>
  <si>
    <t xml:space="preserve">Cossipore -&gt; [Bibibazar] -&gt; Chitpur Bridge</t>
  </si>
  <si>
    <t xml:space="preserve">242; 43</t>
  </si>
  <si>
    <t xml:space="preserve">D.L.F. 2</t>
  </si>
  <si>
    <t xml:space="preserve">Unitech Gate 2 -&gt; [D.L.F. 2] -&gt; Eco Park</t>
  </si>
  <si>
    <t xml:space="preserve">EB3; RT-42</t>
  </si>
  <si>
    <t xml:space="preserve">ILS hospital</t>
  </si>
  <si>
    <t xml:space="preserve">Central Jail -&gt; [ILS hospital] -&gt; Nagerbazar</t>
  </si>
  <si>
    <t xml:space="preserve">AC-40; S-10 (Airport Gate 3 - Nabanna)</t>
  </si>
  <si>
    <t xml:space="preserve">Joka ESI</t>
  </si>
  <si>
    <t xml:space="preserve">IIM Joka -&gt; [Joka ESI] -&gt; Thakurpukur 3A</t>
  </si>
  <si>
    <t xml:space="preserve">AC-52; ST-25; ST-26; ST-27</t>
  </si>
  <si>
    <t xml:space="preserve">Joka Khalpole</t>
  </si>
  <si>
    <t xml:space="preserve">IIM Joka -&gt; [Joka Khalpole] -&gt; Thakurpukur 3A</t>
  </si>
  <si>
    <t xml:space="preserve">Kapathat</t>
  </si>
  <si>
    <t xml:space="preserve">Kalagachia -&gt; [Kapathat] -&gt; Diamond Harbour</t>
  </si>
  <si>
    <t xml:space="preserve">M-15; M-16; SD-11; SD-11/1</t>
  </si>
  <si>
    <t xml:space="preserve">Leninnagar</t>
  </si>
  <si>
    <t xml:space="preserve">Kalagachia -&gt; [Leninnagar] -&gt; Diamond Harbour</t>
  </si>
  <si>
    <t xml:space="preserve">Noongola</t>
  </si>
  <si>
    <t xml:space="preserve">Kalagachia -&gt; [Noongola] -&gt; Diamond Harbour</t>
  </si>
  <si>
    <t xml:space="preserve">R.N.Chowdhury Road</t>
  </si>
  <si>
    <t xml:space="preserve">Tangra More -&gt; [R.N.Chowdhury Road] -&gt; Palmer Bazar</t>
  </si>
  <si>
    <t xml:space="preserve">24; S-166</t>
  </si>
  <si>
    <t xml:space="preserve">Rampur Quarter</t>
  </si>
  <si>
    <t xml:space="preserve">Bata More -&gt; [Rampur Quarter] -&gt; Jhinjhira Bazar</t>
  </si>
  <si>
    <t xml:space="preserve">Salua Bazar</t>
  </si>
  <si>
    <t xml:space="preserve">Chinar Park -&gt; [Salua Bazar] -&gt; Derozio College</t>
  </si>
  <si>
    <t xml:space="preserve">Toll Plaza</t>
  </si>
  <si>
    <t xml:space="preserve">Carry Road -&gt; [Toll Plaza] -&gt; PTS</t>
  </si>
  <si>
    <t xml:space="preserve">Barasat - Santragachi (Newtown Version); Dhulagarh - Sealdah; EB-14; Gadiara - Rajarhat</t>
  </si>
  <si>
    <t xml:space="preserve">Airport 2 No. Gate</t>
  </si>
  <si>
    <t xml:space="preserve">Birati -&gt; [Airport 2 No. Gate] -&gt; Airport 1 No.</t>
  </si>
  <si>
    <t xml:space="preserve">Amta - Airport; Barasat (Titumir Bus Stand) - Santragachi; Barasat - Baruipur; Barasat - Botanical Garden (B garden)</t>
  </si>
  <si>
    <t xml:space="preserve">[Behala Rabindranagar] -&gt; Taratala</t>
  </si>
  <si>
    <t xml:space="preserve">Boyermari</t>
  </si>
  <si>
    <t xml:space="preserve">Rajbari -&gt; [Boyermari] -&gt; Agarhati</t>
  </si>
  <si>
    <t xml:space="preserve">72A; Botanical Garden - Dhamakhali; DN16/1; SD-24</t>
  </si>
  <si>
    <t xml:space="preserve">C.I.T. Road Xing</t>
  </si>
  <si>
    <t xml:space="preserve">Shibtala Math -&gt; [C.I.T. Road Xing] -&gt; Ananda Palit</t>
  </si>
  <si>
    <t xml:space="preserve">Chapuria</t>
  </si>
  <si>
    <t xml:space="preserve">Nilgunge -&gt; [Chapuria] -&gt; Nonachandanpukur</t>
  </si>
  <si>
    <t xml:space="preserve">Mourigram -&gt; [Chunavati] -&gt; Bakultala</t>
  </si>
  <si>
    <t xml:space="preserve">61; 80; RT-13; RT-13A</t>
  </si>
  <si>
    <t xml:space="preserve">[Dahighat] -&gt; Khiderpur</t>
  </si>
  <si>
    <t xml:space="preserve">Kabardanga</t>
  </si>
  <si>
    <t xml:space="preserve">Tollygunj Tram Depot -&gt; [Kabardanga] -&gt; Thakurpukur cancer hospital</t>
  </si>
  <si>
    <t xml:space="preserve">12C/1B; 40A; 40B; AC-4B</t>
  </si>
  <si>
    <t xml:space="preserve">Kadapara</t>
  </si>
  <si>
    <t xml:space="preserve">Bengal Chemical -&gt; [Kadapara] -&gt; Beleghata Building More</t>
  </si>
  <si>
    <t xml:space="preserve">Barasat - Baruipur; Barasat - Garia; DN16/1; Garia - Ultodanga</t>
  </si>
  <si>
    <t xml:space="preserve">Kalipark</t>
  </si>
  <si>
    <t xml:space="preserve">Kaikhali -&gt; [Kalipark] -&gt; Reckjuani</t>
  </si>
  <si>
    <t xml:space="preserve">217; 217A; 91 (Shyambazar - Bhangore); 91A</t>
  </si>
  <si>
    <t xml:space="preserve">Kaltala</t>
  </si>
  <si>
    <t xml:space="preserve">Kanthalberia -&gt; [Kaltala] -&gt; Bhangankhali</t>
  </si>
  <si>
    <t xml:space="preserve">E43; E53; SD-24; SD-33</t>
  </si>
  <si>
    <t xml:space="preserve">Kanmari More</t>
  </si>
  <si>
    <t xml:space="preserve">Rajbari -&gt; [Kanmari More] -&gt; Agarhati</t>
  </si>
  <si>
    <t xml:space="preserve">Botanical Garden - Dhamakhali; DN16/1; MM7; ST-21</t>
  </si>
  <si>
    <t xml:space="preserve">Kestopur Bazar</t>
  </si>
  <si>
    <t xml:space="preserve">Thakdari -&gt; [Kestopur Bazar] -&gt; Dumdum Park</t>
  </si>
  <si>
    <t xml:space="preserve">Salap -&gt; [Kona More] -&gt; Rajchandrapur</t>
  </si>
  <si>
    <t xml:space="preserve">57; 57A; 79; RT-18</t>
  </si>
  <si>
    <t xml:space="preserve">Vidyasagar Setu -&gt; [Madirtala]</t>
  </si>
  <si>
    <t xml:space="preserve">Mahishrekha</t>
  </si>
  <si>
    <t xml:space="preserve">Kamina More -&gt; [Mahishrekha] -&gt; Kulgachia</t>
  </si>
  <si>
    <t xml:space="preserve">Murarishah Chowmatha</t>
  </si>
  <si>
    <t xml:space="preserve">Pifa -&gt; [Murarishah Chowmatha] -&gt; Nazat</t>
  </si>
  <si>
    <t xml:space="preserve">D21; D32; DN12/1; E62</t>
  </si>
  <si>
    <t xml:space="preserve">Kaikhali -&gt; [Narayanpur] -&gt; Reckjuani</t>
  </si>
  <si>
    <t xml:space="preserve">Nature Park</t>
  </si>
  <si>
    <t xml:space="preserve">Paharpur -&gt; [Nature Park] -&gt; Jhinjhira Bazar</t>
  </si>
  <si>
    <t xml:space="preserve">12AD; 1B; 42B; S-46</t>
  </si>
  <si>
    <t xml:space="preserve">Panpur More</t>
  </si>
  <si>
    <t xml:space="preserve">Saheb Colony -&gt; [Panpur More] -&gt; Basudebpur</t>
  </si>
  <si>
    <t xml:space="preserve">70; 77; 87A; AC55</t>
  </si>
  <si>
    <t xml:space="preserve">[Sasthir More] -&gt; Bakultala</t>
  </si>
  <si>
    <t xml:space="preserve">[Suryasen Nagar] -&gt; Sarsuna</t>
  </si>
  <si>
    <t xml:space="preserve">U.E.M. Campus</t>
  </si>
  <si>
    <t xml:space="preserve">Karigari Bhawan -&gt; [U.E.M. Campus] -&gt; Unitech Gate 1</t>
  </si>
  <si>
    <t xml:space="preserve">Lalbaba College -&gt; [Ballykhal] -&gt; Ballyghat</t>
  </si>
  <si>
    <t xml:space="preserve">51; 54; 56; AC50</t>
  </si>
  <si>
    <t xml:space="preserve">Bantala Bazar</t>
  </si>
  <si>
    <t xml:space="preserve">Chowbaga -&gt; [Bantala Bazar] -&gt; Leather Complex</t>
  </si>
  <si>
    <t xml:space="preserve">213; 213A; C2A; SD-24</t>
  </si>
  <si>
    <t xml:space="preserve">Barrackpore -&gt; [Barrackpore Chiriamore] -&gt; Talpukur</t>
  </si>
  <si>
    <t xml:space="preserve">AC-20 (Barrackpore Chiriamore - Santragachi Bus Terminus); C29; MM3; MM5</t>
  </si>
  <si>
    <t xml:space="preserve">Belepol</t>
  </si>
  <si>
    <t xml:space="preserve">Carry Road -&gt; [Belepol] -&gt; Santragachi</t>
  </si>
  <si>
    <t xml:space="preserve">AC41; Barasat (Titumir Bus Stand) - Santragachi; C11 (Belgachia/ BBD bag/ Sealdah - Domjur); C20</t>
  </si>
  <si>
    <t xml:space="preserve">Bhagabanpur</t>
  </si>
  <si>
    <t xml:space="preserve">Belpukur -&gt; [Bhagabanpur] -&gt; Milan More</t>
  </si>
  <si>
    <t xml:space="preserve">67; SD-11; SD-19; SD-50</t>
  </si>
  <si>
    <t xml:space="preserve">Dashadrone</t>
  </si>
  <si>
    <t xml:space="preserve">Kaikhali -&gt; [Dashadrone] -&gt; Reckjuani</t>
  </si>
  <si>
    <t xml:space="preserve">Debipur</t>
  </si>
  <si>
    <t xml:space="preserve">Dogachia -&gt; [Debipur] -&gt; Gaighata P.S</t>
  </si>
  <si>
    <t xml:space="preserve">Boyra - Saltlake Karunamoyee; DN12; DN44; SD-39</t>
  </si>
  <si>
    <t xml:space="preserve">Debpukur</t>
  </si>
  <si>
    <t xml:space="preserve">Nilgunge -&gt; [Debpukur] -&gt; Nonachandanpukur</t>
  </si>
  <si>
    <t xml:space="preserve">Dhulorbandh</t>
  </si>
  <si>
    <t xml:space="preserve">Jala Biswanathpur -&gt; [Dhulorbandh] -&gt; Ranihati</t>
  </si>
  <si>
    <t xml:space="preserve">77; Amta - Airport; Amta - Mukundapur; E31/1</t>
  </si>
  <si>
    <t xml:space="preserve">Dockghat</t>
  </si>
  <si>
    <t xml:space="preserve">Bhangankhali -&gt; [Dockghat] -&gt; Matla Bridge</t>
  </si>
  <si>
    <t xml:space="preserve">SD-33; SD-63; SD-64; SD-85</t>
  </si>
  <si>
    <t xml:space="preserve">Doltola</t>
  </si>
  <si>
    <t xml:space="preserve">Madhyamgram -&gt; [Doltola] -&gt; B.T. College</t>
  </si>
  <si>
    <t xml:space="preserve">AC-37 (Barasat Champadali - Garia 6 No.); C14/1; C43 (Habra WBTC depot - Garia 6 No.); C8 (Barasat Kazipara depot - Joka tram Depot)</t>
  </si>
  <si>
    <t xml:space="preserve">Don Bosco</t>
  </si>
  <si>
    <t xml:space="preserve">Belurmath -&gt; [Don Bosco] -&gt; Golabarai PS</t>
  </si>
  <si>
    <t xml:space="preserve">51; 54; 56; RT-10</t>
  </si>
  <si>
    <t xml:space="preserve">Doordarshan Bhawan</t>
  </si>
  <si>
    <t xml:space="preserve">Lake Gardens -&gt; [Doordarshan Bhawan] -&gt; Golf Green</t>
  </si>
  <si>
    <t xml:space="preserve">223; 234; 234/1; 240</t>
  </si>
  <si>
    <t xml:space="preserve">Dumdum Chiriamore</t>
  </si>
  <si>
    <t xml:space="preserve">Sinthi -&gt; [Dumdum Chiriamore] -&gt; Shyambazar</t>
  </si>
  <si>
    <t xml:space="preserve">AC-20 (Barrackpore Chiriamore - Santragachi Bus Terminus); AC54; S-34C; S-57</t>
  </si>
  <si>
    <t xml:space="preserve">Golabari</t>
  </si>
  <si>
    <t xml:space="preserve">Deganga -&gt; [Golabari] -&gt; Sondalia Station</t>
  </si>
  <si>
    <t xml:space="preserve">Berachampa - Saltlake Karunamoyee; DN18; E29; E56</t>
  </si>
  <si>
    <t xml:space="preserve">Guma Chowmatha</t>
  </si>
  <si>
    <t xml:space="preserve">Khosdelpur -&gt; [Guma Chowmatha] -&gt; Bira Chowmatha</t>
  </si>
  <si>
    <t xml:space="preserve">Boyra - Saltlake Karunamoyee; DN35; DN44; MN3</t>
  </si>
  <si>
    <t xml:space="preserve">Hanskhali</t>
  </si>
  <si>
    <t xml:space="preserve">Chunavati -&gt; [Hanskhali] -&gt; Bakultala</t>
  </si>
  <si>
    <t xml:space="preserve">C36; RT-13; RT-13A; RT-20</t>
  </si>
  <si>
    <t xml:space="preserve">Kachua More</t>
  </si>
  <si>
    <t xml:space="preserve">Sherpur Kalibari -&gt; [Kachua More] -&gt; Kalyangarh More</t>
  </si>
  <si>
    <t xml:space="preserve">73 (Habra - Naihati); D2; DN26; MN3</t>
  </si>
  <si>
    <t xml:space="preserve">Kachuberia</t>
  </si>
  <si>
    <t xml:space="preserve">Uttar Chandipur -&gt; [Kachuberia] -&gt; Kulpi</t>
  </si>
  <si>
    <t xml:space="preserve">SD-11; SD-11/1; SD-19; SD-50</t>
  </si>
  <si>
    <t xml:space="preserve">Jhinjhira Bazar -&gt; [Kamal Talkies] -&gt; Bichali Ghat</t>
  </si>
  <si>
    <t xml:space="preserve">12B (Shuttle); 241; 42B; S-123</t>
  </si>
  <si>
    <t xml:space="preserve">Garia -&gt; [Mahamayatala] -&gt; Kamalgazi</t>
  </si>
  <si>
    <t xml:space="preserve">228; Barasat - Baruipur; Kamalgazi - Dankuni Housing; S-113</t>
  </si>
  <si>
    <t xml:space="preserve">Paglahat</t>
  </si>
  <si>
    <t xml:space="preserve">Calcutta Leather Complex (Covers All 3 Gates) -&gt; [Paglahat] -&gt; Nalmuri</t>
  </si>
  <si>
    <t xml:space="preserve">DN16/1; E43A; E75; Rajabazar (Dankuni) - Baburhat</t>
  </si>
  <si>
    <t xml:space="preserve">Puratan Bazar</t>
  </si>
  <si>
    <t xml:space="preserve">Baruipur Hospital -&gt; [Puratan Bazar]</t>
  </si>
  <si>
    <t xml:space="preserve">AC-14 (Baruipur Fultala - Karunamoyee); C26; ST-12; ST-22A</t>
  </si>
  <si>
    <t xml:space="preserve">Saltlake 4no. Tank</t>
  </si>
  <si>
    <t xml:space="preserve">Ultadanga -&gt; [Saltlake 4no. Tank] -&gt; Baisakhi More</t>
  </si>
  <si>
    <t xml:space="preserve">201; 215A; DN-8; RT-29</t>
  </si>
  <si>
    <t xml:space="preserve">Saltlake C.A. Block</t>
  </si>
  <si>
    <t xml:space="preserve">City Center 1 -&gt; [Saltlake C.A. Block] -&gt; Ultadanga</t>
  </si>
  <si>
    <t xml:space="preserve">215A/1; 260; 32A (Dakshineswar - Salt Lake Sector V); 44A</t>
  </si>
  <si>
    <t xml:space="preserve">Tea board</t>
  </si>
  <si>
    <t xml:space="preserve">Canning Street -&gt; [Tea board] -&gt; Esplanade</t>
  </si>
  <si>
    <t xml:space="preserve">C26; C26A; C38 (Howrah Railway Station - Joka tram Depot); S-3A (Thakurpukur - Sealdah(Rajabajar))</t>
  </si>
  <si>
    <t xml:space="preserve">Vandergacha</t>
  </si>
  <si>
    <t xml:space="preserve">Amta New Market -&gt; [Vandergacha] -&gt; Jala Biswanathpur</t>
  </si>
  <si>
    <t xml:space="preserve">70; 77; Amta - Airport; Amta - Mukundapur</t>
  </si>
  <si>
    <t xml:space="preserve">sibanipith</t>
  </si>
  <si>
    <t xml:space="preserve">Baruipur Hospital -&gt; [sibanipith]</t>
  </si>
  <si>
    <t xml:space="preserve">10 no. pole</t>
  </si>
  <si>
    <t xml:space="preserve">Amta New Market -&gt; [10 no. pole] -&gt; Jala Biswanathpur</t>
  </si>
  <si>
    <t xml:space="preserve">Amta - Airport; Amta - Mukundapur; E31; Muchighata - Saltlake Karunamoyee</t>
  </si>
  <si>
    <t xml:space="preserve">Airport (Covers All The Gates)</t>
  </si>
  <si>
    <t xml:space="preserve">Kaikhali -&gt; [Airport (Covers All The Gates)] -&gt; Durganagar</t>
  </si>
  <si>
    <t xml:space="preserve">DN17; DN47; Kamalgazi - Dankuni Housing; KB21</t>
  </si>
  <si>
    <t xml:space="preserve">Andul Bazar</t>
  </si>
  <si>
    <t xml:space="preserve">Alampur -&gt; [Andul Bazar] -&gt; Mourigram</t>
  </si>
  <si>
    <t xml:space="preserve">61; RT-13; RT-13A; RT-20</t>
  </si>
  <si>
    <t xml:space="preserve">Antara Mental Hospital</t>
  </si>
  <si>
    <t xml:space="preserve">Gobindopur -&gt; [Antara Mental Hospital] -&gt; Baruipur</t>
  </si>
  <si>
    <t xml:space="preserve">AC-14 (Baruipur Fultala - Karunamoyee); C26; ST-12; ST-39</t>
  </si>
  <si>
    <t xml:space="preserve">Arambagh</t>
  </si>
  <si>
    <t xml:space="preserve">Bandar -&gt; [Arambagh] -&gt; Purshura</t>
  </si>
  <si>
    <t xml:space="preserve">Bandar - Howrah station; E35; E51; E51A</t>
  </si>
  <si>
    <t xml:space="preserve">Bablatala</t>
  </si>
  <si>
    <t xml:space="preserve">Kaikhali -&gt; [Bablatala] -&gt; Reckjuani</t>
  </si>
  <si>
    <t xml:space="preserve">Bankra Bazar</t>
  </si>
  <si>
    <t xml:space="preserve">Katlia More -&gt; [Bankra Bazar] -&gt; Dasnagar</t>
  </si>
  <si>
    <t xml:space="preserve">63; RT-31; RT-34; RT-35</t>
  </si>
  <si>
    <t xml:space="preserve">Beleghata Building More</t>
  </si>
  <si>
    <t xml:space="preserve">Bengal Chemical -&gt; [Beleghata Building More] -&gt; Chingrighata</t>
  </si>
  <si>
    <t xml:space="preserve">Barasat - Baruipur; Barasat - Garia; Kamalgazi - Dankuni Housing; Naktala ( Garia ) - Dakshineswar</t>
  </si>
  <si>
    <t xml:space="preserve">Betore</t>
  </si>
  <si>
    <t xml:space="preserve">Belepole -&gt; [Betore] -&gt; Baksara</t>
  </si>
  <si>
    <t xml:space="preserve">Bargachia - Sealdah Court; C20; KB15; VS-12</t>
  </si>
  <si>
    <t xml:space="preserve">Biradingi More</t>
  </si>
  <si>
    <t xml:space="preserve">Kona More -&gt; [Biradingi More] -&gt; Belgachia</t>
  </si>
  <si>
    <t xml:space="preserve">57; 57A; RT-18; RT-30</t>
  </si>
  <si>
    <t xml:space="preserve">Bokchora</t>
  </si>
  <si>
    <t xml:space="preserve">Dogachia -&gt; [Bokchora] -&gt; Gaighata P.S</t>
  </si>
  <si>
    <t xml:space="preserve">Boyra - Saltlake Karunamoyee; DN12; DN44; MM7</t>
  </si>
  <si>
    <t xml:space="preserve">Chadni</t>
  </si>
  <si>
    <t xml:space="preserve">Central -&gt; [Chadni] -&gt; Esplanade</t>
  </si>
  <si>
    <t xml:space="preserve">AC-20 (Barrackpore Chiriamore - Santragachi Bus Terminus); S-11 (Nilgaunj Depot - Esplanade); S-17A; S-9A</t>
  </si>
  <si>
    <t xml:space="preserve">Chaital Ghat</t>
  </si>
  <si>
    <t xml:space="preserve">Malancha -&gt; [Chaital Ghat] -&gt; Taki</t>
  </si>
  <si>
    <t xml:space="preserve">72A; D21; MM7; Rajabazar - Hasnabad</t>
  </si>
  <si>
    <t xml:space="preserve">Chowhati</t>
  </si>
  <si>
    <t xml:space="preserve">Rajpur -&gt; [Chowhati] -&gt; Harinavi</t>
  </si>
  <si>
    <t xml:space="preserve">Dackbanglow More</t>
  </si>
  <si>
    <t xml:space="preserve">Barasat -&gt; [Dackbanglow More] -&gt; Madhyamgram</t>
  </si>
  <si>
    <t xml:space="preserve">D1A; E 36 Spl; E 37A; E36</t>
  </si>
  <si>
    <t xml:space="preserve">Durgapur City Centre -&gt; [Durgapur] -&gt; Barjora</t>
  </si>
  <si>
    <t xml:space="preserve">Durgapur_Express; E67</t>
  </si>
  <si>
    <t xml:space="preserve">Gopalpur House</t>
  </si>
  <si>
    <t xml:space="preserve">Kaikhali -&gt; [Gopalpur House] -&gt; Reckjuani</t>
  </si>
  <si>
    <t xml:space="preserve">Haritala</t>
  </si>
  <si>
    <t xml:space="preserve">Harinavi -&gt; [Haritala] -&gt; Gobindopur</t>
  </si>
  <si>
    <t xml:space="preserve">Hathatgange</t>
  </si>
  <si>
    <t xml:space="preserve">Tentulia -&gt; [Hathatgange] -&gt; Swarupnagar</t>
  </si>
  <si>
    <t xml:space="preserve">DN13; DN13A; DN35; DN38</t>
  </si>
  <si>
    <t xml:space="preserve">Hospital More</t>
  </si>
  <si>
    <t xml:space="preserve">Belpukur -&gt; [Hospital More] -&gt; Milan More</t>
  </si>
  <si>
    <t xml:space="preserve">SD-11; SD-19; SD-50; ST-25</t>
  </si>
  <si>
    <t xml:space="preserve">Jadu babu r bajar</t>
  </si>
  <si>
    <t xml:space="preserve">Hazra -&gt; [Jadu babu r bajar] -&gt; Elgin Road</t>
  </si>
  <si>
    <t xml:space="preserve">AC-6 (Garia 6no. Bus stand - Howrah Railway Station); S-4C; S-7 (Garia 6no. Bus stand - Howrah Railway Station); S7/N</t>
  </si>
  <si>
    <t xml:space="preserve">Jalan Complex</t>
  </si>
  <si>
    <t xml:space="preserve">Alampur -&gt; [Jalan Complex] -&gt; Ankurhati</t>
  </si>
  <si>
    <t xml:space="preserve">Amta - Airport; Amta - Mukundapur; Dhulagarh - Sealdah; Muchighata - Saltlake Karunamoyee</t>
  </si>
  <si>
    <t xml:space="preserve">Jogi Battala</t>
  </si>
  <si>
    <t xml:space="preserve">Gobindopur -&gt; [Jogi Battala] -&gt; Baruipur</t>
  </si>
  <si>
    <t xml:space="preserve">Kakdwip Bus Stand</t>
  </si>
  <si>
    <t xml:space="preserve">Belpukur -&gt; [Kakdwip Bus Stand] -&gt; Milan More</t>
  </si>
  <si>
    <t xml:space="preserve">SD-11; SD-19; SD-50; SD-82</t>
  </si>
  <si>
    <t xml:space="preserve">Kakdwip Station (Bamuner More)</t>
  </si>
  <si>
    <t xml:space="preserve">Belpukur -&gt; [Kakdwip Station (Bamuner More)] -&gt; Milan More</t>
  </si>
  <si>
    <t xml:space="preserve">Kasba Post Office</t>
  </si>
  <si>
    <t xml:space="preserve">Kasba Thana -&gt; [Kasba Post Office] -&gt; Bijan Setu (Ballygunge Station)</t>
  </si>
  <si>
    <t xml:space="preserve">212 (Palbazar (Jadavpur Station) - Howrah Railway Station); KB15; S-108; SD-8</t>
  </si>
  <si>
    <t xml:space="preserve">Khasmallick</t>
  </si>
  <si>
    <t xml:space="preserve">Gobindopur -&gt; [Khasmallick] -&gt; Baruipur</t>
  </si>
  <si>
    <t xml:space="preserve">Maiti Para</t>
  </si>
  <si>
    <t xml:space="preserve">Rajchandrapur -&gt; [Maiti Para]</t>
  </si>
  <si>
    <t xml:space="preserve">AC-31; C23 (Dankuni Housing - Park Circus tram Depot); Kamalgazi - Dankuni Housing; S-31 (Behala Chowrasta - Jadavpur 8B)</t>
  </si>
  <si>
    <t xml:space="preserve">Malncha</t>
  </si>
  <si>
    <t xml:space="preserve">Harinavi -&gt; [Malncha] -&gt; Gobindopur</t>
  </si>
  <si>
    <t xml:space="preserve">Manikpir</t>
  </si>
  <si>
    <t xml:space="preserve">Amta New Market -&gt; [Manikpir] -&gt; Jala Biswanathpur</t>
  </si>
  <si>
    <t xml:space="preserve">E31; E43; E53; Muchighata - Saltlake Karunamoyee</t>
  </si>
  <si>
    <t xml:space="preserve">Mechogram</t>
  </si>
  <si>
    <t xml:space="preserve">Kolaghat -&gt; [Mechogram] -&gt; Ashari</t>
  </si>
  <si>
    <t xml:space="preserve">E70; RADHARANI</t>
  </si>
  <si>
    <t xml:space="preserve">Natun Rastar More</t>
  </si>
  <si>
    <t xml:space="preserve">Belpukur -&gt; [Natun Rastar More] -&gt; Milan More</t>
  </si>
  <si>
    <t xml:space="preserve">Natunhat</t>
  </si>
  <si>
    <t xml:space="preserve">Chongda More -&gt; [Natunhat] -&gt; Kalupur</t>
  </si>
  <si>
    <t xml:space="preserve">DN35; E66; SD-39; SD-53</t>
  </si>
  <si>
    <t xml:space="preserve">[Noorpur] -&gt; Sarisha</t>
  </si>
  <si>
    <t xml:space="preserve">DN26; SD-11; SD-11/1; SD-9</t>
  </si>
  <si>
    <t xml:space="preserve">ONGC More</t>
  </si>
  <si>
    <t xml:space="preserve">Belpukur -&gt; [ONGC More] -&gt; Milan More</t>
  </si>
  <si>
    <t xml:space="preserve">Padmapukur More</t>
  </si>
  <si>
    <t xml:space="preserve">Gobindopur -&gt; [Padmapukur More] -&gt; Baruipur</t>
  </si>
  <si>
    <t xml:space="preserve">Park Circus 4 number</t>
  </si>
  <si>
    <t xml:space="preserve">Entally -&gt; [Park Circus 4 number] -&gt; Topsia</t>
  </si>
  <si>
    <t xml:space="preserve">C26; C26A; S23; ST-10</t>
  </si>
  <si>
    <t xml:space="preserve">Philips More</t>
  </si>
  <si>
    <t xml:space="preserve">Technopolis -&gt; [Philips More] -&gt; College More</t>
  </si>
  <si>
    <t xml:space="preserve">Barasat - Botanical Garden (B garden); K1; K4; S-23A</t>
  </si>
  <si>
    <t xml:space="preserve">Prince Anwar Shah Connector</t>
  </si>
  <si>
    <t xml:space="preserve">Tollygunge Phari -&gt; [Prince Anwar Shah Connector] -&gt; Bangur hospital</t>
  </si>
  <si>
    <t xml:space="preserve">AC-31; S-31 (Behala Chowrasta - Jadavpur 8B); S-4D; VS10</t>
  </si>
  <si>
    <t xml:space="preserve">RG Kar</t>
  </si>
  <si>
    <t xml:space="preserve">Shyambazar -&gt; [RG Kar] -&gt; Belgachia Metro</t>
  </si>
  <si>
    <t xml:space="preserve">3B; 3C/1; 3C/2; 3D</t>
  </si>
  <si>
    <t xml:space="preserve">Rajapur</t>
  </si>
  <si>
    <t xml:space="preserve">Nischintapur -&gt; [Rajapur] -&gt; Lebutala</t>
  </si>
  <si>
    <t xml:space="preserve">72 (Basirhat - Nazat); E12; E43; E77</t>
  </si>
  <si>
    <t xml:space="preserve">Rampur</t>
  </si>
  <si>
    <t xml:space="preserve">Agarhati -&gt; [Rampur] -&gt; Dhamakhali</t>
  </si>
  <si>
    <t xml:space="preserve">Botanical Garden - Dhamakhali; DN16/1; MM7; S-47</t>
  </si>
  <si>
    <t xml:space="preserve">Falta -&gt; [Sahararhat] -&gt; Belsingha</t>
  </si>
  <si>
    <t xml:space="preserve">83; M-16; SD-14; SD-30</t>
  </si>
  <si>
    <t xml:space="preserve">Saptapally More</t>
  </si>
  <si>
    <t xml:space="preserve">Hatthuba -&gt; [Saptapally More] -&gt; Joygachhi</t>
  </si>
  <si>
    <t xml:space="preserve">Boyra - Saltlake Karunamoyee; DN35; DN44; MN6</t>
  </si>
  <si>
    <t xml:space="preserve">Shaktigarh</t>
  </si>
  <si>
    <t xml:space="preserve">Dankuni -&gt; [Shaktigarh] -&gt; Bahadurpur</t>
  </si>
  <si>
    <t xml:space="preserve">Durgapur_Express; E66</t>
  </si>
  <si>
    <t xml:space="preserve">Shibpur Toll Plaza</t>
  </si>
  <si>
    <t xml:space="preserve">Vidyasagar Setu -&gt; [Shibpur Toll Plaza] -&gt; Nabanna</t>
  </si>
  <si>
    <t xml:space="preserve">Amta - Mukundapur; Barasat (Titumir Bus Stand) - Santragachi; Barasat - Botanical Garden (B garden); KB15</t>
  </si>
  <si>
    <t xml:space="preserve">Sukhchar</t>
  </si>
  <si>
    <t xml:space="preserve">Khardaha -&gt; [Sukhchar] -&gt; Sodepur</t>
  </si>
  <si>
    <t xml:space="preserve">AC-20 (Barrackpore Chiriamore - Santragachi Bus Terminus); E32(Executive Service); S-11 (Nilgaunj Depot - Esplanade); S-58 (Barrackpore Court - Karunamoyee)</t>
  </si>
  <si>
    <t xml:space="preserve">Sushrut Hospital</t>
  </si>
  <si>
    <t xml:space="preserve">GD Island -&gt; [Sushrut Hospital] -&gt; SDF</t>
  </si>
  <si>
    <t xml:space="preserve">239 (White Board); 32A (Dakshineswar - Salt Lake Sector V); Gadiara - Rajarhat; S-167</t>
  </si>
  <si>
    <t xml:space="preserve">Tollygunj Karunamoyee</t>
  </si>
  <si>
    <t xml:space="preserve">Tollygunj Tram Depot -&gt; [Tollygunj Karunamoyee] -&gt; Kabardanga</t>
  </si>
  <si>
    <t xml:space="preserve">AC-31; C8 (Barasat Kazipara depot - Joka tram Depot); S-31 (Behala Chowrasta - Jadavpur 8B); S-4C</t>
  </si>
  <si>
    <t xml:space="preserve">Addhabazar</t>
  </si>
  <si>
    <t xml:space="preserve">Belpukur -&gt; [Addhabazar] -&gt; Milan More</t>
  </si>
  <si>
    <t xml:space="preserve">SD-11; SD-19; SD-50</t>
  </si>
  <si>
    <t xml:space="preserve">Santoshpur Station -&gt; [Akra Fatak]</t>
  </si>
  <si>
    <t xml:space="preserve">12AD; 241; SD-27</t>
  </si>
  <si>
    <t xml:space="preserve">[Amlasuli] -&gt; Chandrakona Road</t>
  </si>
  <si>
    <t xml:space="preserve">Antila Bridge</t>
  </si>
  <si>
    <t xml:space="preserve">Khalore More -&gt; [Antila Bridge] -&gt; Bantul More</t>
  </si>
  <si>
    <t xml:space="preserve">67; 67B; 68</t>
  </si>
  <si>
    <t xml:space="preserve">Arupota</t>
  </si>
  <si>
    <t xml:space="preserve">Science City -&gt; [Arupota] -&gt; Bantala</t>
  </si>
  <si>
    <t xml:space="preserve">Botanical Garden - Dhamakhali; Rajabazar - Hasnabad; ST-21 (Ultadanga - Kanmari Bazar)</t>
  </si>
  <si>
    <t xml:space="preserve">Asuttola</t>
  </si>
  <si>
    <t xml:space="preserve">Kalatala -&gt; [Asuttola] -&gt; Jala Biswanathpur</t>
  </si>
  <si>
    <t xml:space="preserve">Amta - Airport; Amta - Mukundapur; E31/1</t>
  </si>
  <si>
    <t xml:space="preserve">Banstala</t>
  </si>
  <si>
    <t xml:space="preserve">Purandarpur -&gt; [Banstala]</t>
  </si>
  <si>
    <t xml:space="preserve">D8; DN-5; MN6</t>
  </si>
  <si>
    <t xml:space="preserve">Baralighat</t>
  </si>
  <si>
    <t xml:space="preserve">Bantala -&gt; [Baralighat] -&gt; Ghatakpukur</t>
  </si>
  <si>
    <t xml:space="preserve">E43A; E75; T12</t>
  </si>
  <si>
    <t xml:space="preserve">Barasat Dak bunglow</t>
  </si>
  <si>
    <t xml:space="preserve">[Barasat Dak bunglow] -&gt; Hridaypur</t>
  </si>
  <si>
    <t xml:space="preserve">AC-37 (Barasat Champadali - Garia 6 No.); DN43; S - 37 (Barasat Kazipara - Garia 6 No.)</t>
  </si>
  <si>
    <t xml:space="preserve">Kaikhali -&gt; [Beraberi] -&gt; Reckjuani</t>
  </si>
  <si>
    <t xml:space="preserve">217; 91 (Shyambazar - Bhangore); 91A</t>
  </si>
  <si>
    <t xml:space="preserve">Bhebia Chowmatha</t>
  </si>
  <si>
    <t xml:space="preserve">Malancha -&gt; [Bhebia Chowmatha] -&gt; Taki</t>
  </si>
  <si>
    <t xml:space="preserve">D21; DN12/1; Rajabazar - Hasnabad</t>
  </si>
  <si>
    <t xml:space="preserve">Bakhrahat -&gt; [Bibirhat] -&gt; Shamali</t>
  </si>
  <si>
    <t xml:space="preserve">75 (Raipur - Babughat); SD-26; SD-8</t>
  </si>
  <si>
    <t xml:space="preserve">Bisalakshmitala</t>
  </si>
  <si>
    <t xml:space="preserve">Burul -&gt; [Bisalakshmitala] -&gt; Dongaria</t>
  </si>
  <si>
    <t xml:space="preserve">M-16; SD-26; SD-30</t>
  </si>
  <si>
    <t xml:space="preserve">Boardghar</t>
  </si>
  <si>
    <t xml:space="preserve">A.P.C. college -&gt; [Boardghar] -&gt; Muragacha</t>
  </si>
  <si>
    <t xml:space="preserve">214; DN43; Madhyamgram - Howrah</t>
  </si>
  <si>
    <t xml:space="preserve">Cancer Hospital</t>
  </si>
  <si>
    <t xml:space="preserve">Thakurpukur 3A -&gt; [Cancer Hospital] -&gt; Kabardanga</t>
  </si>
  <si>
    <t xml:space="preserve">12C/1B; 40B; AC-4B</t>
  </si>
  <si>
    <t xml:space="preserve">Chakhna</t>
  </si>
  <si>
    <t xml:space="preserve">[Chakhna] -&gt; Kalatala</t>
  </si>
  <si>
    <t xml:space="preserve">Amta - Airport; Amta - Mukundapur; E31</t>
  </si>
  <si>
    <t xml:space="preserve">Chandpara Bazar</t>
  </si>
  <si>
    <t xml:space="preserve">Dogachia -&gt; [Chandpara Bazar] -&gt; Gaighata P.S</t>
  </si>
  <si>
    <t xml:space="preserve">Boyra - Saltlake Karunamoyee; DN12; DN44</t>
  </si>
  <si>
    <t xml:space="preserve">Chandrakona Town</t>
  </si>
  <si>
    <t xml:space="preserve">Chandrakona Road -&gt; [Chandrakona Town] -&gt; Khirpai</t>
  </si>
  <si>
    <t xml:space="preserve">Colony Bazar</t>
  </si>
  <si>
    <t xml:space="preserve">Picnic Garden -&gt; [Colony Bazar] -&gt; Kustia More</t>
  </si>
  <si>
    <t xml:space="preserve">39; 39A/2; S-128</t>
  </si>
  <si>
    <t xml:space="preserve">Rajchandrapur -&gt; [Dankuni Housing]</t>
  </si>
  <si>
    <t xml:space="preserve">51; C23 (Dankuni Housing - Park Circus tram Depot); Kamalgazi - Dankuni Housing</t>
  </si>
  <si>
    <t xml:space="preserve">Deorah More</t>
  </si>
  <si>
    <t xml:space="preserve">Mugkalyan -&gt; [Deorah More] -&gt; Belpukur</t>
  </si>
  <si>
    <t xml:space="preserve">Dilakhash</t>
  </si>
  <si>
    <t xml:space="preserve">Jagatballavpur -&gt; [Dilakhash]</t>
  </si>
  <si>
    <t xml:space="preserve">E71; E72; E77</t>
  </si>
  <si>
    <t xml:space="preserve">Doltala More</t>
  </si>
  <si>
    <t xml:space="preserve">Madhyamgram -&gt; [Doltala More] -&gt; B.T. College</t>
  </si>
  <si>
    <t xml:space="preserve">79B; 79D; 93</t>
  </si>
  <si>
    <t xml:space="preserve">Dunlop Bridge</t>
  </si>
  <si>
    <t xml:space="preserve">Dakshineswar -&gt; [Dunlop Bridge] -&gt; Baranagar Road Station</t>
  </si>
  <si>
    <t xml:space="preserve">Bally Halt - Saltlake Karunamoyee; DN-9/1; S-32 (Barrackpore - Howrah Railway Station)</t>
  </si>
  <si>
    <t xml:space="preserve">[Eden City] -&gt; Jhinjhira Bazar</t>
  </si>
  <si>
    <t xml:space="preserve">AC49; S-47; S-61</t>
  </si>
  <si>
    <t xml:space="preserve">FD island</t>
  </si>
  <si>
    <t xml:space="preserve">GD Island -&gt; [FD island] -&gt; Central Park</t>
  </si>
  <si>
    <t xml:space="preserve">AC-14 (Baruipur Fultala - Karunamoyee); S-14 (Garia 6 No. - Karunamoyee); S-46</t>
  </si>
  <si>
    <t xml:space="preserve">GST Bhawan</t>
  </si>
  <si>
    <t xml:space="preserve">Acropolis Mall -&gt; [GST Bhawan] -&gt; Ruby</t>
  </si>
  <si>
    <t xml:space="preserve">AC49; S-3W; S-46</t>
  </si>
  <si>
    <t xml:space="preserve">Gangadharpur</t>
  </si>
  <si>
    <t xml:space="preserve">Belpukur -&gt; [Gangadharpur] -&gt; Milan More</t>
  </si>
  <si>
    <t xml:space="preserve">[Garia 6no. Bus stand] -&gt; Naktala</t>
  </si>
  <si>
    <t xml:space="preserve">AC-6 (Garia 6no. Bus stand - Howrah Railway Station); S-7 (Garia 6no. Bus stand - Howrah Railway Station); S7/N</t>
  </si>
  <si>
    <t xml:space="preserve">Ghoshpur</t>
  </si>
  <si>
    <t xml:space="preserve">Chandipur -&gt; [Ghoshpur] -&gt; Bamanpukur</t>
  </si>
  <si>
    <t xml:space="preserve">Bandar - Howrah station; DN16/1; SD-24</t>
  </si>
  <si>
    <t xml:space="preserve">Goaldaha</t>
  </si>
  <si>
    <t xml:space="preserve">Shyampur -&gt; [Goaldaha] -&gt; Gujarpur</t>
  </si>
  <si>
    <t xml:space="preserve">Bashirhat - Gadiara; DN13; DN13A</t>
  </si>
  <si>
    <t xml:space="preserve">Goaltore</t>
  </si>
  <si>
    <t xml:space="preserve">[Goaltore] -&gt; Chandrakona Road</t>
  </si>
  <si>
    <t xml:space="preserve">Goura</t>
  </si>
  <si>
    <t xml:space="preserve">Ghatal -&gt; [Goura] -&gt; Mechogram</t>
  </si>
  <si>
    <t xml:space="preserve">H.M.G. College</t>
  </si>
  <si>
    <t xml:space="preserve">Bichali Ghat -&gt; [H.M.G. College] -&gt; Metiabruj</t>
  </si>
  <si>
    <t xml:space="preserve">12A; 14A; 42A</t>
  </si>
  <si>
    <t xml:space="preserve">Harishpur</t>
  </si>
  <si>
    <t xml:space="preserve">Kholapota -&gt; [Harishpur] -&gt; Basirhat Court</t>
  </si>
  <si>
    <t xml:space="preserve">DN12/1; DN13; DN13A</t>
  </si>
  <si>
    <t xml:space="preserve">Hela Battala</t>
  </si>
  <si>
    <t xml:space="preserve">Noapara -&gt; [Hela Battala] -&gt; Colony More</t>
  </si>
  <si>
    <t xml:space="preserve">30C/1; DN19; DN47</t>
  </si>
  <si>
    <t xml:space="preserve">Hoglashi More</t>
  </si>
  <si>
    <t xml:space="preserve">Belpukur -&gt; [Hoglashi More] -&gt; Shyampur</t>
  </si>
  <si>
    <t xml:space="preserve">Joygram</t>
  </si>
  <si>
    <t xml:space="preserve">Minakhan -&gt; [Joygram] -&gt; Malancha</t>
  </si>
  <si>
    <t xml:space="preserve">DN16/1; SD-24; Shyambazar - Malancha</t>
  </si>
  <si>
    <t xml:space="preserve">Joypul Bazar</t>
  </si>
  <si>
    <t xml:space="preserve">Bira Chowmatha -&gt; [Joypul Bazar] -&gt; Duttapukur</t>
  </si>
  <si>
    <t xml:space="preserve">Boyra - Saltlake Karunamoyee; DN44; MN6</t>
  </si>
  <si>
    <t xml:space="preserve">Minakhan -&gt; [Joypur] -&gt; Malancha</t>
  </si>
  <si>
    <t xml:space="preserve">78 (Bagnan - Joypur); E43A; T12</t>
  </si>
  <si>
    <t xml:space="preserve">Kajoler More</t>
  </si>
  <si>
    <t xml:space="preserve">Belpukur -&gt; [Kajoler More] -&gt; Milan More</t>
  </si>
  <si>
    <t xml:space="preserve">Nischintipur -&gt; [Kakdip] -&gt; Namkhana</t>
  </si>
  <si>
    <t xml:space="preserve">ST-27; ST-28; ST-32</t>
  </si>
  <si>
    <t xml:space="preserve">Cancer Hospital -&gt; [Kalitala Housing] -&gt; Kabardanga</t>
  </si>
  <si>
    <t xml:space="preserve">12C/1B; 40B; S-117</t>
  </si>
  <si>
    <t xml:space="preserve">Kankugachi</t>
  </si>
  <si>
    <t xml:space="preserve">Ultadanga -&gt; [Kankugachi] -&gt; Maniktala</t>
  </si>
  <si>
    <t xml:space="preserve">E 36 Spl; E 37A; E36</t>
  </si>
  <si>
    <t xml:space="preserve">Kapileshwar</t>
  </si>
  <si>
    <t xml:space="preserve">Adhata More -&gt; [Kapileshwar] -&gt; Jaguli More</t>
  </si>
  <si>
    <t xml:space="preserve">87; 88; DN26</t>
  </si>
  <si>
    <t xml:space="preserve">Kazipara Railgate</t>
  </si>
  <si>
    <t xml:space="preserve">Barasat Titumir Bus Stand -&gt; [Kazipara Railgate] -&gt; Bamangachi</t>
  </si>
  <si>
    <t xml:space="preserve">DN35; MN3; MN6</t>
  </si>
  <si>
    <t xml:space="preserve">Khejurtala</t>
  </si>
  <si>
    <t xml:space="preserve">Nibra -&gt; [Khejurtala] -&gt; Santragachi Station</t>
  </si>
  <si>
    <t xml:space="preserve">Bargachia - Sealdah Court; C11 (Belgachia/ BBD bag/ Sealdah - Domjur); Muchighata - Saltlake Karunamoyee</t>
  </si>
  <si>
    <t xml:space="preserve">Kona Expressway Crossing (Nibra)</t>
  </si>
  <si>
    <t xml:space="preserve">Ankurhati -&gt; [Kona Expressway Crossing (Nibra)] -&gt; Salap</t>
  </si>
  <si>
    <t xml:space="preserve">Amta - Airport; Amta - Mukundapur; Dhulagarh - Sealdah</t>
  </si>
  <si>
    <t xml:space="preserve">Labony Estate</t>
  </si>
  <si>
    <t xml:space="preserve">Ultadanga -&gt; [Labony Estate] -&gt; Saltlake Stadium</t>
  </si>
  <si>
    <t xml:space="preserve">32A (Dakshineswar - Salt Lake Sector V); RT-20A; S-173</t>
  </si>
  <si>
    <t xml:space="preserve">Mallickpur</t>
  </si>
  <si>
    <t xml:space="preserve">Julpia -&gt; [Mallickpur] -&gt; Kabardanga</t>
  </si>
  <si>
    <t xml:space="preserve">40A; M-16; SD-30</t>
  </si>
  <si>
    <t xml:space="preserve">Mallikbagan</t>
  </si>
  <si>
    <t xml:space="preserve">Jala Biswanathpur -&gt; [Mallikbagan] -&gt; Ranihati</t>
  </si>
  <si>
    <t xml:space="preserve">Amta - Airport; Amta - Mukundapur; Muchighata - Saltlake Karunamoyee</t>
  </si>
  <si>
    <t xml:space="preserve">Manikpir Bazar</t>
  </si>
  <si>
    <t xml:space="preserve">Kalatala -&gt; [Manikpir Bazar] -&gt; Jala Biswanathpur</t>
  </si>
  <si>
    <t xml:space="preserve">Mickel Nagar</t>
  </si>
  <si>
    <t xml:space="preserve">B.T. College -&gt; [Mickel Nagar] -&gt; Airport 1 No.</t>
  </si>
  <si>
    <t xml:space="preserve">C42; E36; E75</t>
  </si>
  <si>
    <t xml:space="preserve">Motigunge</t>
  </si>
  <si>
    <t xml:space="preserve">Bongaon -&gt; [Motigunge] -&gt; Gopalnagar</t>
  </si>
  <si>
    <t xml:space="preserve">92; 92A; 95</t>
  </si>
  <si>
    <t xml:space="preserve">Moyna Checkpost</t>
  </si>
  <si>
    <t xml:space="preserve">Colony More -&gt; [Moyna Checkpost] -&gt; Khilkapur</t>
  </si>
  <si>
    <t xml:space="preserve">87; 87A; 88</t>
  </si>
  <si>
    <t xml:space="preserve">Muchibazar</t>
  </si>
  <si>
    <t xml:space="preserve">Bidhannagar Road Station -&gt; [Muchibazar] -&gt; Shyambazar</t>
  </si>
  <si>
    <t xml:space="preserve">Garia Station - Kolkata Station; S-21 (Baghbazar - Garia 6 No.); S-58 (Barrackpore Court - Karunamoyee)</t>
  </si>
  <si>
    <t xml:space="preserve">NRS Medical College</t>
  </si>
  <si>
    <t xml:space="preserve">Sealdah -&gt; [NRS Medical College] -&gt; SSKM Hospital</t>
  </si>
  <si>
    <t xml:space="preserve">Kashtodanga -&gt; [Nahata]</t>
  </si>
  <si>
    <t xml:space="preserve">95; E47; MN3</t>
  </si>
  <si>
    <t xml:space="preserve">Nakpul</t>
  </si>
  <si>
    <t xml:space="preserve">Chongda More -&gt; [Nakpul] -&gt; Kalupur</t>
  </si>
  <si>
    <t xml:space="preserve">DN12; DN35; MN6</t>
  </si>
  <si>
    <t xml:space="preserve">Nanu Babur Bazar</t>
  </si>
  <si>
    <t xml:space="preserve">Tollygunge Metro -&gt; [Nanu Babur Bazar] -&gt; Parnasree</t>
  </si>
  <si>
    <t xml:space="preserve">AC-47; S-17A; VS10</t>
  </si>
  <si>
    <t xml:space="preserve">Narendrapur Ramkrishna Mission</t>
  </si>
  <si>
    <t xml:space="preserve">Kamalgazi -&gt; [Narendrapur Ramkrishna Mission] -&gt; Rajpur</t>
  </si>
  <si>
    <t xml:space="preserve">C26; ST-12; ST-39</t>
  </si>
  <si>
    <t xml:space="preserve">Nazirgunge</t>
  </si>
  <si>
    <t xml:space="preserve">Sankrail -&gt; [Nazirgunge] -&gt; Bakultala</t>
  </si>
  <si>
    <t xml:space="preserve">69; C30; RT-24</t>
  </si>
  <si>
    <t xml:space="preserve">Nibra Crossing</t>
  </si>
  <si>
    <t xml:space="preserve">Salap -&gt; [Nibra Crossing] -&gt; Ankurhati</t>
  </si>
  <si>
    <t xml:space="preserve">E43; E53; Shyampur - Kolkata Station</t>
  </si>
  <si>
    <t xml:space="preserve">Nimtala</t>
  </si>
  <si>
    <t xml:space="preserve">Bodra -&gt; [Nimtala] -&gt; Saihati</t>
  </si>
  <si>
    <t xml:space="preserve">95; SD-3; SD-33</t>
  </si>
  <si>
    <t xml:space="preserve">Noul Bazar</t>
  </si>
  <si>
    <t xml:space="preserve">Mugkalyan -&gt; [Noul Bazar] -&gt; Belpukur</t>
  </si>
  <si>
    <t xml:space="preserve">Nuntia More</t>
  </si>
  <si>
    <t xml:space="preserve">Bantul More -&gt; [Nuntia More] -&gt; Mugkalyan</t>
  </si>
  <si>
    <t xml:space="preserve">Paschim Chowbhaga</t>
  </si>
  <si>
    <t xml:space="preserve">Science City -&gt; [Paschim Chowbhaga] -&gt; Bantala</t>
  </si>
  <si>
    <t xml:space="preserve">Milan More -&gt; [Patharpratima]</t>
  </si>
  <si>
    <t xml:space="preserve">Kulpi -&gt; [Polerhat] -&gt; Bhagabatipur</t>
  </si>
  <si>
    <t xml:space="preserve">91 (Shyambazar - Bhangore); Polerhat - Shyambazar; SD-11/1</t>
  </si>
  <si>
    <t xml:space="preserve">Pramodnagar</t>
  </si>
  <si>
    <t xml:space="preserve">Durganagar -&gt; [Pramodnagar] -&gt; Baranagar Road Station</t>
  </si>
  <si>
    <t xml:space="preserve">Bally Halt - Saltlake Karunamoyee; DN44; Kamalgazi - Dankuni Housing</t>
  </si>
  <si>
    <t xml:space="preserve">Raichak More</t>
  </si>
  <si>
    <t xml:space="preserve">[Raichak More] -&gt; Sarisha</t>
  </si>
  <si>
    <t xml:space="preserve">SD-11; SD-11/1; SD-9</t>
  </si>
  <si>
    <t xml:space="preserve">Park Circus -&gt; [Ruby / Chittaranjan Cancer Inst]</t>
  </si>
  <si>
    <t xml:space="preserve">SSKM Hospital</t>
  </si>
  <si>
    <t xml:space="preserve">NRS Medical College -&gt; [SSKM Hospital] -&gt; Exide</t>
  </si>
  <si>
    <t xml:space="preserve">Saheed Nagar</t>
  </si>
  <si>
    <t xml:space="preserve">Jadavpur PS -&gt; [Saheed Nagar] -&gt; Kalikapur</t>
  </si>
  <si>
    <t xml:space="preserve">47B; S-124; SD-33</t>
  </si>
  <si>
    <t xml:space="preserve">Salkia</t>
  </si>
  <si>
    <t xml:space="preserve">[Salkia] -&gt; Howrah Railway Station</t>
  </si>
  <si>
    <t xml:space="preserve">Saltlake 13no. Tank</t>
  </si>
  <si>
    <t xml:space="preserve">Ultadanga -&gt; [Saltlake 13no. Tank] -&gt; Saltlake Stadium</t>
  </si>
  <si>
    <t xml:space="preserve">Saltlake 14no. Tank</t>
  </si>
  <si>
    <t xml:space="preserve">Saltlake Stadium -&gt; [Saltlake 14no. Tank] -&gt; Sushrut Hospital</t>
  </si>
  <si>
    <t xml:space="preserve">239 (White Board); 32A (Dakshineswar - Salt Lake Sector V); S-167</t>
  </si>
  <si>
    <t xml:space="preserve">Shamukpota</t>
  </si>
  <si>
    <t xml:space="preserve">Bakhrahat -&gt; [Shamukpota] -&gt; Shamali</t>
  </si>
  <si>
    <t xml:space="preserve">Shasati More</t>
  </si>
  <si>
    <t xml:space="preserve">Mugkalyan -&gt; [Shasati More] -&gt; Belpukur</t>
  </si>
  <si>
    <t xml:space="preserve">Khardah -&gt; [Sodepur Girja] -&gt; Kamarhati</t>
  </si>
  <si>
    <t xml:space="preserve">214A; 78 (Barrackpore Court - Esplanade); 81/1</t>
  </si>
  <si>
    <t xml:space="preserve">Subhash Colony</t>
  </si>
  <si>
    <t xml:space="preserve">Mathrangi -&gt; [Subhash Colony] -&gt; Barrackpore</t>
  </si>
  <si>
    <t xml:space="preserve">81; 81/1; C29</t>
  </si>
  <si>
    <t xml:space="preserve">Unsani</t>
  </si>
  <si>
    <t xml:space="preserve">Ankurhati -&gt; [Unsani] -&gt; Santragachi Station</t>
  </si>
  <si>
    <t xml:space="preserve">Amta - Mukundapur; Dhulagarh - Sealdah; K11</t>
  </si>
  <si>
    <t xml:space="preserve">Wireless Gate</t>
  </si>
  <si>
    <t xml:space="preserve">Nilgunge -&gt; [Wireless Gate] -&gt; Nonachandanpukur</t>
  </si>
  <si>
    <t xml:space="preserve">DN19; MM3; MM5</t>
  </si>
  <si>
    <t xml:space="preserve">8 No. Kalibari More</t>
  </si>
  <si>
    <t xml:space="preserve">Sherpur Kalibari -&gt; [8 No. Kalibari More] -&gt; Kalyangarh More</t>
  </si>
  <si>
    <t xml:space="preserve">MN3; MN6</t>
  </si>
  <si>
    <t xml:space="preserve">8No. Kalibari</t>
  </si>
  <si>
    <t xml:space="preserve">Kalyangarh More -&gt; [8No. Kalibari] -&gt; Beledanga</t>
  </si>
  <si>
    <t xml:space="preserve">73 (Habra - Naihati); D2</t>
  </si>
  <si>
    <t xml:space="preserve">Adharmanik</t>
  </si>
  <si>
    <t xml:space="preserve">Srichanda -&gt; [Adharmanik]</t>
  </si>
  <si>
    <t xml:space="preserve">SD-27; ST-26</t>
  </si>
  <si>
    <t xml:space="preserve">Amta College More</t>
  </si>
  <si>
    <t xml:space="preserve">Shibtala -&gt; [Amta College More] -&gt; Amta New Market</t>
  </si>
  <si>
    <t xml:space="preserve">E31/1; Muchighata - Saltlake Karunamoyee</t>
  </si>
  <si>
    <t xml:space="preserve">Ashoknagar Railgate</t>
  </si>
  <si>
    <t xml:space="preserve">Khosdelpur -&gt; [Ashoknagar Railgate] -&gt; Habra</t>
  </si>
  <si>
    <t xml:space="preserve">DN35; MN6</t>
  </si>
  <si>
    <t xml:space="preserve">Bagaria</t>
  </si>
  <si>
    <t xml:space="preserve">Shirakol -&gt; [Bagaria] -&gt; Srichanda</t>
  </si>
  <si>
    <t xml:space="preserve">Bagnan Library More</t>
  </si>
  <si>
    <t xml:space="preserve">Bagnan -&gt; [Bagnan Library More] -&gt; Uluberia</t>
  </si>
  <si>
    <t xml:space="preserve">Bagnan - Ecospace; E7</t>
  </si>
  <si>
    <t xml:space="preserve">Bally Bazar</t>
  </si>
  <si>
    <t xml:space="preserve">Lalbaba College -&gt; [Bally Bazar] -&gt; Ballyghat</t>
  </si>
  <si>
    <t xml:space="preserve">AC50; S-32A</t>
  </si>
  <si>
    <t xml:space="preserve">Bamunia</t>
  </si>
  <si>
    <t xml:space="preserve">Ghatakpukur -&gt; [Bamunia] -&gt; Chandipur</t>
  </si>
  <si>
    <t xml:space="preserve">DN16/1; SD-24</t>
  </si>
  <si>
    <t xml:space="preserve">Banamalipur</t>
  </si>
  <si>
    <t xml:space="preserve">Paschim Tajpur -&gt; [Banamalipur] -&gt; Azabnagar</t>
  </si>
  <si>
    <t xml:space="preserve">E74; MM6</t>
  </si>
  <si>
    <t xml:space="preserve">Baragachia</t>
  </si>
  <si>
    <t xml:space="preserve">Munshirhat -&gt; [Baragachia] -&gt; Domjur</t>
  </si>
  <si>
    <t xml:space="preserve">RT-34; RT-35</t>
  </si>
  <si>
    <t xml:space="preserve">Barasat University</t>
  </si>
  <si>
    <t xml:space="preserve">Jagannathpur -&gt; [Barasat University] -&gt; Colony More</t>
  </si>
  <si>
    <t xml:space="preserve">AC55; S-64</t>
  </si>
  <si>
    <t xml:space="preserve">Barrackpore Cantonment</t>
  </si>
  <si>
    <t xml:space="preserve">Barrackpore Court -&gt; [Barrackpore Cantonment] -&gt; Chiriamore</t>
  </si>
  <si>
    <t xml:space="preserve">DN19; MM5</t>
  </si>
  <si>
    <t xml:space="preserve">Baruipur Hospital -&gt; [Baruipur Fultala Central Terminus]</t>
  </si>
  <si>
    <t xml:space="preserve">C26; ST-12</t>
  </si>
  <si>
    <t xml:space="preserve">Basanti Chowmatha</t>
  </si>
  <si>
    <t xml:space="preserve">Sonakhali Bus Stand -&gt; [Basanti Chowmatha] -&gt; Hiranmoypur</t>
  </si>
  <si>
    <t xml:space="preserve">SD-33; SD-63</t>
  </si>
  <si>
    <t xml:space="preserve">Basirhat Puratan Bazar</t>
  </si>
  <si>
    <t xml:space="preserve">Kholapota -&gt; [Basirhat Puratan Bazar] -&gt; Basirhat Court</t>
  </si>
  <si>
    <t xml:space="preserve">DN13; DN13A</t>
  </si>
  <si>
    <t xml:space="preserve">Basirhat Trimohini</t>
  </si>
  <si>
    <t xml:space="preserve">Kholapota -&gt; [Basirhat Trimohini] -&gt; Basirhat Court</t>
  </si>
  <si>
    <t xml:space="preserve">Beleghata CIT More</t>
  </si>
  <si>
    <t xml:space="preserve">Rashmoni Bazar -&gt; [Beleghata CIT More] -&gt; ID Hospital</t>
  </si>
  <si>
    <t xml:space="preserve">DN17; ST-21 (Ultadanga - Kanmari Bazar)</t>
  </si>
  <si>
    <t xml:space="preserve">Belepore</t>
  </si>
  <si>
    <t xml:space="preserve">Carry Road -&gt; [Belepore] -&gt; Santragachi</t>
  </si>
  <si>
    <t xml:space="preserve">E36; T8</t>
  </si>
  <si>
    <t xml:space="preserve">Bergum</t>
  </si>
  <si>
    <t xml:space="preserve">Chongda More -&gt; [Bergum] -&gt; Kalupur</t>
  </si>
  <si>
    <t xml:space="preserve">Purandarpur -&gt; [Beri Gopalpur]</t>
  </si>
  <si>
    <t xml:space="preserve">96C (Bongaon - Beri Gopalpur); MN6</t>
  </si>
  <si>
    <t xml:space="preserve">Betai Bandar More</t>
  </si>
  <si>
    <t xml:space="preserve">Ranihati -&gt; [Betai Bandar More] -&gt; Nischintapur</t>
  </si>
  <si>
    <t xml:space="preserve">E43; E53</t>
  </si>
  <si>
    <t xml:space="preserve">Bethpukur</t>
  </si>
  <si>
    <t xml:space="preserve">Adhata More -&gt; [Bethpukur] -&gt; Jaguli More</t>
  </si>
  <si>
    <t xml:space="preserve">87; 88</t>
  </si>
  <si>
    <t xml:space="preserve">Bhabla Station</t>
  </si>
  <si>
    <t xml:space="preserve">Basirhat -&gt; [Bhabla Station] -&gt; Malancha</t>
  </si>
  <si>
    <t xml:space="preserve">72 (Basirhat - Nazat); 72A</t>
  </si>
  <si>
    <t xml:space="preserve">Bhadura</t>
  </si>
  <si>
    <t xml:space="preserve">Khandalia -&gt; [Bhadura] -&gt; Dhukrijhara</t>
  </si>
  <si>
    <t xml:space="preserve">M-15; M-16</t>
  </si>
  <si>
    <t xml:space="preserve">Bhandargacha</t>
  </si>
  <si>
    <t xml:space="preserve">Ranihati -&gt; [Bhandargacha] -&gt; Nischintapur</t>
  </si>
  <si>
    <t xml:space="preserve">Bhasa Panchrasta Bazar</t>
  </si>
  <si>
    <t xml:space="preserve">Dakshin Durgapur -&gt; [Bhasa Panchrasta Bazar] -&gt; Bhubaneshwari</t>
  </si>
  <si>
    <t xml:space="preserve">SD-39; SD-53</t>
  </si>
  <si>
    <t xml:space="preserve">Bhebia Chowrasta</t>
  </si>
  <si>
    <t xml:space="preserve">Basirhat -&gt; [Bhebia Chowrasta] -&gt; Malancha</t>
  </si>
  <si>
    <t xml:space="preserve">Bhushighata</t>
  </si>
  <si>
    <t xml:space="preserve">Chandipur -&gt; [Bhushighata] -&gt; Bamanpukur</t>
  </si>
  <si>
    <t xml:space="preserve">E43A; T12</t>
  </si>
  <si>
    <t xml:space="preserve">Bira Joypul Chowmatha</t>
  </si>
  <si>
    <t xml:space="preserve">Duttapukur -&gt; [Bira Joypul Chowmatha] -&gt; Khosdelpur</t>
  </si>
  <si>
    <t xml:space="preserve">DN35; MN3</t>
  </si>
  <si>
    <t xml:space="preserve">Birla More</t>
  </si>
  <si>
    <t xml:space="preserve">Birlapur -&gt; [Birla More] -&gt; Charial More</t>
  </si>
  <si>
    <t xml:space="preserve">77A (No Bata); SD-30</t>
  </si>
  <si>
    <t xml:space="preserve">Bodra</t>
  </si>
  <si>
    <t xml:space="preserve">Ghatakpukur -&gt; [Bodra] -&gt; Champahati</t>
  </si>
  <si>
    <t xml:space="preserve">E75; SD-3</t>
  </si>
  <si>
    <t xml:space="preserve">Boldeghata</t>
  </si>
  <si>
    <t xml:space="preserve">Jamdani -&gt; [Boldeghata] -&gt; Sutia</t>
  </si>
  <si>
    <t xml:space="preserve">85; MN6</t>
  </si>
  <si>
    <t xml:space="preserve">Bongaon 1 No. Railgate Bazar</t>
  </si>
  <si>
    <t xml:space="preserve">Bongaon -&gt; [Bongaon 1 No. Railgate Bazar] -&gt; Kalupur</t>
  </si>
  <si>
    <t xml:space="preserve">DN12; DN44</t>
  </si>
  <si>
    <t xml:space="preserve">[Boyra] -&gt; Bagdah</t>
  </si>
  <si>
    <t xml:space="preserve">92; Boyra - Saltlake Karunamoyee</t>
  </si>
  <si>
    <t xml:space="preserve">Bratachari Ashram (Baguiati Big Bazar)</t>
  </si>
  <si>
    <t xml:space="preserve">Tegharia -&gt; [Bratachari Ashram (Baguiati Big Bazar)] -&gt; Joramandir</t>
  </si>
  <si>
    <t xml:space="preserve">Barasat - Baruipur; Barasat - Garia</t>
  </si>
  <si>
    <t xml:space="preserve">Burul Bazar</t>
  </si>
  <si>
    <t xml:space="preserve">Burul -&gt; [Burul Bazar] -&gt; Dongaria</t>
  </si>
  <si>
    <t xml:space="preserve">M-16; SD-26</t>
  </si>
  <si>
    <t xml:space="preserve">Calcium More</t>
  </si>
  <si>
    <t xml:space="preserve">Birlapur -&gt; [Calcium More] -&gt; Charial More</t>
  </si>
  <si>
    <t xml:space="preserve">Chalki Bazar</t>
  </si>
  <si>
    <t xml:space="preserve">Bongaon -&gt; [Chalki Bazar] -&gt; Gopalnagar</t>
  </si>
  <si>
    <t xml:space="preserve">95; 96C</t>
  </si>
  <si>
    <t xml:space="preserve">Chamrail</t>
  </si>
  <si>
    <t xml:space="preserve">Jagadishpur -&gt; [Chamrail] -&gt; Kona More</t>
  </si>
  <si>
    <t xml:space="preserve">57A; RT-30</t>
  </si>
  <si>
    <t xml:space="preserve">Chandpara B.D.O. Office</t>
  </si>
  <si>
    <t xml:space="preserve">Dogachia -&gt; [Chandpara B.D.O. Office] -&gt; Gaighata P.S</t>
  </si>
  <si>
    <t xml:space="preserve">Boyra - Saltlake Karunamoyee; DN44</t>
  </si>
  <si>
    <t xml:space="preserve">Chandua Bazar</t>
  </si>
  <si>
    <t xml:space="preserve">Burul -&gt; [Chandua Bazar] -&gt; Dongaria</t>
  </si>
  <si>
    <t xml:space="preserve">Chapaberia</t>
  </si>
  <si>
    <t xml:space="preserve">Bongaon -&gt; [Chapaberia] -&gt; Gopalnagar</t>
  </si>
  <si>
    <t xml:space="preserve">Chapatala</t>
  </si>
  <si>
    <t xml:space="preserve">Sankrail -&gt; [Chapatala] -&gt; Bakultala</t>
  </si>
  <si>
    <t xml:space="preserve">69; RT-24</t>
  </si>
  <si>
    <t xml:space="preserve">Chiriamore Dumdum</t>
  </si>
  <si>
    <t xml:space="preserve">Sinthi -&gt; [Chiriamore Dumdum] -&gt; Shyambazar</t>
  </si>
  <si>
    <t xml:space="preserve">E32(Executive Service); S-11 (Nilgaunj Depot - Esplanade)</t>
  </si>
  <si>
    <t xml:space="preserve">D. Park</t>
  </si>
  <si>
    <t xml:space="preserve">Gariahat -&gt; [D. Park] -&gt; Hazra</t>
  </si>
  <si>
    <t xml:space="preserve">5-N; S-5C</t>
  </si>
  <si>
    <t xml:space="preserve">Dakbungalow Bazar</t>
  </si>
  <si>
    <t xml:space="preserve">Sarapul -&gt; [Dakbungalow Bazar] -&gt; Nirman</t>
  </si>
  <si>
    <t xml:space="preserve">Dakshin Akhratala</t>
  </si>
  <si>
    <t xml:space="preserve">Pifa -&gt; [Dakshin Akhratala] -&gt; Nazat</t>
  </si>
  <si>
    <t xml:space="preserve">D21; DN12/1</t>
  </si>
  <si>
    <t xml:space="preserve">Deular More</t>
  </si>
  <si>
    <t xml:space="preserve">Hatugunge -&gt; [Deular More] -&gt; Mandirbazar</t>
  </si>
  <si>
    <t xml:space="preserve">M-10; M-15</t>
  </si>
  <si>
    <t xml:space="preserve">Dhruba Bazar</t>
  </si>
  <si>
    <t xml:space="preserve">Gurudaspur Hospital More -&gt; [Dhruba Bazar]</t>
  </si>
  <si>
    <t xml:space="preserve">SD-11/1; ST-25</t>
  </si>
  <si>
    <t xml:space="preserve">Dhuri Bazar</t>
  </si>
  <si>
    <t xml:space="preserve">Atharobanki -&gt; [Dhuri Bazar] -&gt; Amjhara</t>
  </si>
  <si>
    <t xml:space="preserve">SD-24; SD-85</t>
  </si>
  <si>
    <t xml:space="preserve">Dighirpar</t>
  </si>
  <si>
    <t xml:space="preserve">Harindanga -&gt; [Dighirpar] -&gt; Dostipur</t>
  </si>
  <si>
    <t xml:space="preserve">83; SD-14</t>
  </si>
  <si>
    <t xml:space="preserve">Domjur BDO Office</t>
  </si>
  <si>
    <t xml:space="preserve">Makardaha -&gt; [Domjur BDO Office] -&gt; Domjur hospital more</t>
  </si>
  <si>
    <t xml:space="preserve">C11 (Belgachia/ BBD bag/ Sealdah - Domjur); K11</t>
  </si>
  <si>
    <t xml:space="preserve">Duttabazar</t>
  </si>
  <si>
    <t xml:space="preserve">Joynagar -&gt; [Duttabazar] -&gt; Nimpith</t>
  </si>
  <si>
    <t xml:space="preserve">Sindrani -&gt; [Duttaphulia]</t>
  </si>
  <si>
    <t xml:space="preserve">92A; 96C</t>
  </si>
  <si>
    <t xml:space="preserve">Fariapukur</t>
  </si>
  <si>
    <t xml:space="preserve">Bidhannagar Road Station -&gt; [Fariapukur] -&gt; Shyambazar</t>
  </si>
  <si>
    <t xml:space="preserve">Garia Station - Kolkata Station; K4</t>
  </si>
  <si>
    <t xml:space="preserve">Gadamara</t>
  </si>
  <si>
    <t xml:space="preserve">Adhata More -&gt; [Gadamara] -&gt; Jaguli More</t>
  </si>
  <si>
    <t xml:space="preserve">Gaighata Bazar</t>
  </si>
  <si>
    <t xml:space="preserve">Gaighata P.S -&gt; [Gaighata Bazar] -&gt; Bagna more</t>
  </si>
  <si>
    <t xml:space="preserve">Ghatboar</t>
  </si>
  <si>
    <t xml:space="preserve">Bongaon -&gt; [Ghatboar] -&gt; Chanda</t>
  </si>
  <si>
    <t xml:space="preserve">92; 92A</t>
  </si>
  <si>
    <t xml:space="preserve">Ghola Bazar</t>
  </si>
  <si>
    <t xml:space="preserve">Muragacha -&gt; [Ghola Bazar] -&gt; Sodepur Station</t>
  </si>
  <si>
    <t xml:space="preserve">214; Madhyamgram - Howrah</t>
  </si>
  <si>
    <t xml:space="preserve">Ghoraras Beltala</t>
  </si>
  <si>
    <t xml:space="preserve">Malatipur -&gt; [Ghoraras Beltala] -&gt; Kholapota</t>
  </si>
  <si>
    <t xml:space="preserve">Gobardanga Bazar</t>
  </si>
  <si>
    <t xml:space="preserve">Chongda More -&gt; [Gobardanga Bazar] -&gt; Jamdani</t>
  </si>
  <si>
    <t xml:space="preserve">DN12; MN6</t>
  </si>
  <si>
    <t xml:space="preserve">Golabari More</t>
  </si>
  <si>
    <t xml:space="preserve">Kadambagachi -&gt; [Golabari More] -&gt; Biswanathpur</t>
  </si>
  <si>
    <t xml:space="preserve">23; DN28</t>
  </si>
  <si>
    <t xml:space="preserve">Gopalpur More</t>
  </si>
  <si>
    <t xml:space="preserve">Malatipur -&gt; [Gopalpur More] -&gt; Kholapota</t>
  </si>
  <si>
    <t xml:space="preserve">Goundia Raghunathpur</t>
  </si>
  <si>
    <t xml:space="preserve">Bhadura -&gt; [Goundia Raghunathpur] -&gt; Dhukrijhara</t>
  </si>
  <si>
    <t xml:space="preserve">Hajratala</t>
  </si>
  <si>
    <t xml:space="preserve">Sukhobrishti -&gt; [Hajratala] -&gt; Karigari Bhawan</t>
  </si>
  <si>
    <t xml:space="preserve">K1; KB16</t>
  </si>
  <si>
    <t xml:space="preserve">Haltu Bazar</t>
  </si>
  <si>
    <t xml:space="preserve">Ballygunge Station -&gt; [Haltu Bazar] -&gt; Nandi Bagan</t>
  </si>
  <si>
    <t xml:space="preserve">212 (Palbazar (Jadavpur Station) - Howrah Railway Station); SD-8</t>
  </si>
  <si>
    <t xml:space="preserve">Hanskhali Pole</t>
  </si>
  <si>
    <t xml:space="preserve">Chunavati -&gt; [Hanskhali Pole] -&gt; Bakultala</t>
  </si>
  <si>
    <t xml:space="preserve">61; 80</t>
  </si>
  <si>
    <t xml:space="preserve">Hingalgunge</t>
  </si>
  <si>
    <t xml:space="preserve">Hasnabad -&gt; [Hingalgunge] -&gt; Lebukhali</t>
  </si>
  <si>
    <t xml:space="preserve">D32; MN2</t>
  </si>
  <si>
    <t xml:space="preserve">Icchapur</t>
  </si>
  <si>
    <t xml:space="preserve">Kadamtala -&gt; [Icchapur] -&gt; Dasnagar</t>
  </si>
  <si>
    <t xml:space="preserve">C11/1; D28</t>
  </si>
  <si>
    <t xml:space="preserve">Jagadishpur</t>
  </si>
  <si>
    <t xml:space="preserve">Baluhati -&gt; [Jagadishpur] -&gt; Chamrail</t>
  </si>
  <si>
    <t xml:space="preserve">Jagat Cinema</t>
  </si>
  <si>
    <t xml:space="preserve">Rajabazar Tram Depot -&gt; [Jagat Cinema] -&gt; Sealdah</t>
  </si>
  <si>
    <t xml:space="preserve">S-3A (Thakurpukur - Sealdah(Rajabajar)); ST-21 (Ultadanga - Kanmari Bazar)</t>
  </si>
  <si>
    <t xml:space="preserve">Jagatballavpur</t>
  </si>
  <si>
    <t xml:space="preserve">Ichanagari -&gt; [Jagatballavpur]</t>
  </si>
  <si>
    <t xml:space="preserve">E71; E77</t>
  </si>
  <si>
    <t xml:space="preserve">Jalaberia</t>
  </si>
  <si>
    <t xml:space="preserve">Mollarchak -&gt; [Jalaberia] -&gt; Kultali</t>
  </si>
  <si>
    <t xml:space="preserve">Jamtala Boropole</t>
  </si>
  <si>
    <t xml:space="preserve">Chongda More -&gt; [Jamtala Boropole] -&gt; Kalupur</t>
  </si>
  <si>
    <t xml:space="preserve">Jaygram</t>
  </si>
  <si>
    <t xml:space="preserve">Minakhan -&gt; [Jaygram] -&gt; Malancha</t>
  </si>
  <si>
    <t xml:space="preserve">Botanical Garden - Dhamakhali; ST-21 (Ultadanga - Kanmari Bazar)</t>
  </si>
  <si>
    <t xml:space="preserve">Jeevan Deep</t>
  </si>
  <si>
    <t xml:space="preserve">Exide -&gt; [Jeevan Deep] -&gt; Maidan</t>
  </si>
  <si>
    <t xml:space="preserve">Dhulagarh - Sealdah; S-45</t>
  </si>
  <si>
    <t xml:space="preserve">Jhilpar</t>
  </si>
  <si>
    <t xml:space="preserve">Ballyhalt -&gt; [Jhilpar] -&gt; Rajchandrapur (Ballyhalt)</t>
  </si>
  <si>
    <t xml:space="preserve">AC-23A; S-23A</t>
  </si>
  <si>
    <t xml:space="preserve">Jingira Bazar</t>
  </si>
  <si>
    <t xml:space="preserve">Bata More -&gt; [Jingira Bazar] -&gt; Taratala</t>
  </si>
  <si>
    <t xml:space="preserve">S-47; S-61</t>
  </si>
  <si>
    <t xml:space="preserve">Joka ESI hospital</t>
  </si>
  <si>
    <t xml:space="preserve">Thakurpukur 3A -&gt; [Joka ESI hospital]</t>
  </si>
  <si>
    <t xml:space="preserve">C38 (Howrah Railway Station - Joka tram Depot); C8 (Barasat Kazipara depot - Joka tram Depot)</t>
  </si>
  <si>
    <t xml:space="preserve">Jorabattala</t>
  </si>
  <si>
    <t xml:space="preserve">Malangapara -&gt; [Jorabattala] -&gt; Sarapul</t>
  </si>
  <si>
    <t xml:space="preserve">Joypur Bill</t>
  </si>
  <si>
    <t xml:space="preserve">Salap -&gt; [Joypur Bill] -&gt; Rajchandrapur</t>
  </si>
  <si>
    <t xml:space="preserve">Amta - Airport; Shyampur - Kolkata Station</t>
  </si>
  <si>
    <t xml:space="preserve">Kalitala</t>
  </si>
  <si>
    <t xml:space="preserve">Minakhan -&gt; [Kalitala] -&gt; Malancha</t>
  </si>
  <si>
    <t xml:space="preserve">SD-3; Shyambazar - Malancha</t>
  </si>
  <si>
    <t xml:space="preserve">Kalyanpur</t>
  </si>
  <si>
    <t xml:space="preserve">Mankur More -&gt; [Kalyanpur] -&gt; Bakshi</t>
  </si>
  <si>
    <t xml:space="preserve">78 (Bagnan - Joypur); E28</t>
  </si>
  <si>
    <t xml:space="preserve">Chhatna -&gt; [Kamalpur] -&gt; Hura</t>
  </si>
  <si>
    <t xml:space="preserve">68; E67</t>
  </si>
  <si>
    <t xml:space="preserve">Kanchiara</t>
  </si>
  <si>
    <t xml:space="preserve">Adhata More -&gt; [Kanchiara] -&gt; Jaguli More</t>
  </si>
  <si>
    <t xml:space="preserve">Mathbari -&gt; [Kanmari Bazar]</t>
  </si>
  <si>
    <t xml:space="preserve">ST-21; ST-21 (Ultadanga - Kanmari Bazar)</t>
  </si>
  <si>
    <t xml:space="preserve">Kantamari</t>
  </si>
  <si>
    <t xml:space="preserve">Sankizahan -&gt; [Kantamari] -&gt; Dakshin Durgapur</t>
  </si>
  <si>
    <t xml:space="preserve">Kanthalibar</t>
  </si>
  <si>
    <t xml:space="preserve">Belpukur -&gt; [Kanthalibar] -&gt; Shyampur</t>
  </si>
  <si>
    <t xml:space="preserve">67; 67B</t>
  </si>
  <si>
    <t xml:space="preserve">Karbala More</t>
  </si>
  <si>
    <t xml:space="preserve">Shimultala -&gt; [Karbala More] -&gt; Kamalgazi</t>
  </si>
  <si>
    <t xml:space="preserve">M-10; SD-5</t>
  </si>
  <si>
    <t xml:space="preserve">Karidanga</t>
  </si>
  <si>
    <t xml:space="preserve">Bantala -&gt; [Karidanga] -&gt; Ghatakpukur</t>
  </si>
  <si>
    <t xml:space="preserve">Kartikpur</t>
  </si>
  <si>
    <t xml:space="preserve">Berachampa Crossing -&gt; [Kartikpur] -&gt; Deganga</t>
  </si>
  <si>
    <t xml:space="preserve">Berachampa - Saltlake Karunamoyee; DN28</t>
  </si>
  <si>
    <t xml:space="preserve">Katalia</t>
  </si>
  <si>
    <t xml:space="preserve">Santragachi -&gt; [Katalia] -&gt; Makardaha</t>
  </si>
  <si>
    <t xml:space="preserve">C11 (Belgachia/ BBD bag/ Sealdah - Domjur); C11/1</t>
  </si>
  <si>
    <t xml:space="preserve">Katatala</t>
  </si>
  <si>
    <t xml:space="preserve">Bantala -&gt; [Katatala] -&gt; Ghatakpukur</t>
  </si>
  <si>
    <t xml:space="preserve">Katiahat Bazar</t>
  </si>
  <si>
    <t xml:space="preserve">Gandharbapur -&gt; [Katiahat Bazar] -&gt; Aturia</t>
  </si>
  <si>
    <t xml:space="preserve">Katlamari</t>
  </si>
  <si>
    <t xml:space="preserve">Bongaon -&gt; [Katlamari] -&gt; Chanda</t>
  </si>
  <si>
    <t xml:space="preserve">Kazibari</t>
  </si>
  <si>
    <t xml:space="preserve">Nonachandanpukur -&gt; [Kazibari] -&gt; Jagannathpur</t>
  </si>
  <si>
    <t xml:space="preserve">DN19; S-34C</t>
  </si>
  <si>
    <t xml:space="preserve">Kendua Bazar</t>
  </si>
  <si>
    <t xml:space="preserve">Madartala -&gt; [Kendua Bazar] -&gt; Malatipur</t>
  </si>
  <si>
    <t xml:space="preserve">Khalpol</t>
  </si>
  <si>
    <t xml:space="preserve">Sales Tax -&gt; [Khalpol] -&gt; Sarkar Bazar</t>
  </si>
  <si>
    <t xml:space="preserve">Muchighata - Saltlake Karunamoyee; ST-21 (Ultadanga - Kanmari Bazar)</t>
  </si>
  <si>
    <t xml:space="preserve">Kholakhali Hat</t>
  </si>
  <si>
    <t xml:space="preserve">Mollarchak -&gt; [Kholakhali Hat] -&gt; Kultali</t>
  </si>
  <si>
    <t xml:space="preserve">Khorop</t>
  </si>
  <si>
    <t xml:space="preserve">Sehagori -&gt; [Khorop] -&gt; Shibtala</t>
  </si>
  <si>
    <t xml:space="preserve">E43; Muchighata - Saltlake Karunamoyee</t>
  </si>
  <si>
    <t xml:space="preserve">Kolashim Bazar</t>
  </si>
  <si>
    <t xml:space="preserve">Dharampur -&gt; [Kolashim Bazar] -&gt; Chongda More</t>
  </si>
  <si>
    <t xml:space="preserve">Korapara</t>
  </si>
  <si>
    <t xml:space="preserve">Malatipur -&gt; [Korapara] -&gt; Kholapota</t>
  </si>
  <si>
    <t xml:space="preserve">Krishnachandrapur</t>
  </si>
  <si>
    <t xml:space="preserve">Lalpur -&gt; [Krishnachandrapur] -&gt; Kashinagar</t>
  </si>
  <si>
    <t xml:space="preserve">M-10; SD-51</t>
  </si>
  <si>
    <t xml:space="preserve">Kulpukur</t>
  </si>
  <si>
    <t xml:space="preserve">Dharampur -&gt; [Kulpukur] -&gt; Chongda More</t>
  </si>
  <si>
    <t xml:space="preserve">Kultali Bazar</t>
  </si>
  <si>
    <t xml:space="preserve">Uttar Sonakhali -&gt; [Kultali Bazar] -&gt; Bhangankhali</t>
  </si>
  <si>
    <t xml:space="preserve">ST-22; ST-22A</t>
  </si>
  <si>
    <t xml:space="preserve">Lalpur</t>
  </si>
  <si>
    <t xml:space="preserve">South Bishnupur -&gt; [Lalpur] -&gt; Krishnachandrapur</t>
  </si>
  <si>
    <t xml:space="preserve">Hasnabad -&gt; [Lebukhali] -&gt; Dulduli</t>
  </si>
  <si>
    <t xml:space="preserve">Library More</t>
  </si>
  <si>
    <t xml:space="preserve">Bagnan -&gt; [Library More] -&gt; Birshibpur</t>
  </si>
  <si>
    <t xml:space="preserve">E29; Shyampur - Kolkata Station</t>
  </si>
  <si>
    <t xml:space="preserve">Machhlandapur Station</t>
  </si>
  <si>
    <t xml:space="preserve">Chongda More -&gt; [Machhlandapur Station] -&gt; Kalupur</t>
  </si>
  <si>
    <t xml:space="preserve">DN12; DN35</t>
  </si>
  <si>
    <t xml:space="preserve">Madhabpur</t>
  </si>
  <si>
    <t xml:space="preserve">Bagnan -&gt; [Madhabpur] -&gt; Uluberia</t>
  </si>
  <si>
    <t xml:space="preserve">Bagnan - Ecospace; MM5</t>
  </si>
  <si>
    <t xml:space="preserve">Mahjerhat</t>
  </si>
  <si>
    <t xml:space="preserve">Taratala -&gt; [Mahjerhat] -&gt; Mominpore</t>
  </si>
  <si>
    <t xml:space="preserve">259; M-14 (Dakghar (Chattabazar) - Howrah Railway Station)</t>
  </si>
  <si>
    <t xml:space="preserve">Mandalerhat</t>
  </si>
  <si>
    <t xml:space="preserve">Jamtala -&gt; [Mandalerhat] -&gt; Sankizahan</t>
  </si>
  <si>
    <t xml:space="preserve">Mathkol</t>
  </si>
  <si>
    <t xml:space="preserve">Durganagar -&gt; [Mathkol] -&gt; Baranagar Road Station</t>
  </si>
  <si>
    <t xml:space="preserve">Bally Halt - Saltlake Karunamoyee; Kamalgazi - Dankuni Housing</t>
  </si>
  <si>
    <t xml:space="preserve">Belgachia Metro -&gt; [Milk Colony]</t>
  </si>
  <si>
    <t xml:space="preserve">3B; 3D</t>
  </si>
  <si>
    <t xml:space="preserve">Mondonkathi</t>
  </si>
  <si>
    <t xml:space="preserve">Bamangachi -&gt; [Mondonkathi] -&gt; Kazipara</t>
  </si>
  <si>
    <t xml:space="preserve">Mondonpara</t>
  </si>
  <si>
    <t xml:space="preserve">Dogachia -&gt; [Mondonpara] -&gt; Gaighata P.S</t>
  </si>
  <si>
    <t xml:space="preserve">Mudiali More</t>
  </si>
  <si>
    <t xml:space="preserve">Fatehpur -&gt; [Mudiali More] -&gt; Bichali Ghat</t>
  </si>
  <si>
    <t xml:space="preserve">12A; 42A</t>
  </si>
  <si>
    <t xml:space="preserve">N.S.H.M. Campus</t>
  </si>
  <si>
    <t xml:space="preserve">Haridevpur -&gt; [N.S.H.M. Campus] -&gt; Tollygunge Phari</t>
  </si>
  <si>
    <t xml:space="preserve">21; 40A</t>
  </si>
  <si>
    <t xml:space="preserve">Narit More</t>
  </si>
  <si>
    <t xml:space="preserve">Shibtala -&gt; [Narit More] -&gt; Amta New Market</t>
  </si>
  <si>
    <t xml:space="preserve">Naskarpara</t>
  </si>
  <si>
    <t xml:space="preserve">Mollarchak -&gt; [Naskarpara] -&gt; Kultali</t>
  </si>
  <si>
    <t xml:space="preserve">Natun Rasta</t>
  </si>
  <si>
    <t xml:space="preserve">Ramrajatala -&gt; [Natun Rasta] -&gt; Dalalpukur</t>
  </si>
  <si>
    <t xml:space="preserve">52; RT-26</t>
  </si>
  <si>
    <t xml:space="preserve">Natunpukur</t>
  </si>
  <si>
    <t xml:space="preserve">Sukhobrishti -&gt; [Natunpukur] -&gt; Karigari Bhawan</t>
  </si>
  <si>
    <t xml:space="preserve">Nibra</t>
  </si>
  <si>
    <t xml:space="preserve">Ankurhati -&gt; [Nibra] -&gt; Santragachi Station</t>
  </si>
  <si>
    <t xml:space="preserve">Bargachia - Sealdah Court; Muchighata - Saltlake Karunamoyee</t>
  </si>
  <si>
    <t xml:space="preserve">[Nilgaunj Depot] -&gt; Lalkuthi</t>
  </si>
  <si>
    <t xml:space="preserve">Nilgunge Hut</t>
  </si>
  <si>
    <t xml:space="preserve">Rangapur -&gt; [Nilgunge Hut] -&gt; Neelgunge</t>
  </si>
  <si>
    <t xml:space="preserve">MM3; MM5</t>
  </si>
  <si>
    <t xml:space="preserve">Panchpota School More</t>
  </si>
  <si>
    <t xml:space="preserve">Bongaon -&gt; [Panchpota School More] -&gt; Kalupur</t>
  </si>
  <si>
    <t xml:space="preserve">Par Hasnabad</t>
  </si>
  <si>
    <t xml:space="preserve">Hasnabad Station -&gt; [Par Hasnabad]</t>
  </si>
  <si>
    <t xml:space="preserve">D32; E62</t>
  </si>
  <si>
    <t xml:space="preserve">Pateswari Mandir</t>
  </si>
  <si>
    <t xml:space="preserve">Dhukrijhara -&gt; [Pateswari Mandir] -&gt; Pitambara</t>
  </si>
  <si>
    <t xml:space="preserve">Petkulchand Bazar</t>
  </si>
  <si>
    <t xml:space="preserve">Dakshin Durgapur -&gt; [Petkulchand Bazar] -&gt; Bhubaneshwari</t>
  </si>
  <si>
    <t xml:space="preserve">Pifa Bazar</t>
  </si>
  <si>
    <t xml:space="preserve">Basirhat -&gt; [Pifa Bazar] -&gt; Malancha</t>
  </si>
  <si>
    <t xml:space="preserve">Pirtala</t>
  </si>
  <si>
    <t xml:space="preserve">Sheakhala -&gt; [Pirtala] -&gt; Paschim Tajpur</t>
  </si>
  <si>
    <t xml:space="preserve">E74; SD-29</t>
  </si>
  <si>
    <t xml:space="preserve">Podra Bazar</t>
  </si>
  <si>
    <t xml:space="preserve">Sankrail -&gt; [Podra Bazar] -&gt; Bakultala</t>
  </si>
  <si>
    <t xml:space="preserve">Polerhat more</t>
  </si>
  <si>
    <t xml:space="preserve">Kulpi -&gt; [Polerhat more] -&gt; Dhola</t>
  </si>
  <si>
    <t xml:space="preserve">ST-25; ST-29</t>
  </si>
  <si>
    <t xml:space="preserve">Prafulla Nagar</t>
  </si>
  <si>
    <t xml:space="preserve">Durganagar -&gt; [Prafulla Nagar] -&gt; Baranagar Road Station</t>
  </si>
  <si>
    <t xml:space="preserve">Priyor More</t>
  </si>
  <si>
    <t xml:space="preserve">Mollarchak -&gt; [Priyor More] -&gt; Kultali</t>
  </si>
  <si>
    <t xml:space="preserve">Radha Chemical More</t>
  </si>
  <si>
    <t xml:space="preserve">Kalyangarh More -&gt; [Radha Chemical More] -&gt; Habra</t>
  </si>
  <si>
    <t xml:space="preserve">DN26; MN6</t>
  </si>
  <si>
    <t xml:space="preserve">Radhadashi</t>
  </si>
  <si>
    <t xml:space="preserve">Sankrail -&gt; [Radhadashi] -&gt; Bakultala</t>
  </si>
  <si>
    <t xml:space="preserve">Rahana Bazar</t>
  </si>
  <si>
    <t xml:space="preserve">Amdanga -&gt; [Rahana Bazar] -&gt; Awalsiddhi</t>
  </si>
  <si>
    <t xml:space="preserve">Narkelbagan -&gt; [Rajarhat]</t>
  </si>
  <si>
    <t xml:space="preserve">C46; Gadiara - Rajarhat</t>
  </si>
  <si>
    <t xml:space="preserve">Rajgunge</t>
  </si>
  <si>
    <t xml:space="preserve">Sankrail -&gt; [Rajgunge] -&gt; Bakultala</t>
  </si>
  <si>
    <t xml:space="preserve">Gurudaspur Hospital More -&gt; [Ramganga]</t>
  </si>
  <si>
    <t xml:space="preserve">Ramkrishna Math</t>
  </si>
  <si>
    <t xml:space="preserve">James long Crossing -&gt; [Ramkrishna Math] -&gt; Tollygunge Metro</t>
  </si>
  <si>
    <t xml:space="preserve">AC-31; S-31 (Behala Chowrasta - Jadavpur 8B)</t>
  </si>
  <si>
    <t xml:space="preserve">Rashmoni More</t>
  </si>
  <si>
    <t xml:space="preserve">Kalyan Nagar -&gt; [Rashmoni More] -&gt; Sodepur Station</t>
  </si>
  <si>
    <t xml:space="preserve">56; 78/1</t>
  </si>
  <si>
    <t xml:space="preserve">Rudrapur</t>
  </si>
  <si>
    <t xml:space="preserve">Matikumra -&gt; [Rudrapur] -&gt; Taragunia</t>
  </si>
  <si>
    <t xml:space="preserve">DN12; DN12/1</t>
  </si>
  <si>
    <t xml:space="preserve">SWASTHA BHAVAN</t>
  </si>
  <si>
    <t xml:space="preserve">Nicco Park -&gt; [SWASTHA BHAVAN] -&gt; College More</t>
  </si>
  <si>
    <t xml:space="preserve">AC-4A; EB-14</t>
  </si>
  <si>
    <t xml:space="preserve">Sadarpur</t>
  </si>
  <si>
    <t xml:space="preserve">[Sadarpur] -&gt; Madartala</t>
  </si>
  <si>
    <t xml:space="preserve">Sahebbagan</t>
  </si>
  <si>
    <t xml:space="preserve">Ballyhalt -&gt; [Sahebbagan] -&gt; Rajchandrapur</t>
  </si>
  <si>
    <t xml:space="preserve">Amta - Airport; Kamalgazi - Dankuni Housing</t>
  </si>
  <si>
    <t xml:space="preserve">Saltlake 12no. Tank</t>
  </si>
  <si>
    <t xml:space="preserve">Karunamoyee -&gt; [Saltlake 12no. Tank] -&gt; Sushrut Hospital</t>
  </si>
  <si>
    <t xml:space="preserve">239 (White Board); S-167</t>
  </si>
  <si>
    <t xml:space="preserve">Saltlake 16no. Tank</t>
  </si>
  <si>
    <t xml:space="preserve">Sushrut Hospital -&gt; [Saltlake 16no. Tank] -&gt; Building More</t>
  </si>
  <si>
    <t xml:space="preserve">Bakultala -&gt; [Sankrail Station]</t>
  </si>
  <si>
    <t xml:space="preserve">C30; S-65</t>
  </si>
  <si>
    <t xml:space="preserve">Sarat Colony</t>
  </si>
  <si>
    <t xml:space="preserve">Kaikhali -&gt; [Sarat Colony] -&gt; Birati</t>
  </si>
  <si>
    <t xml:space="preserve">DN17; KB21</t>
  </si>
  <si>
    <t xml:space="preserve">Sehagori More</t>
  </si>
  <si>
    <t xml:space="preserve">Ranihati -&gt; [Sehagori More] -&gt; Nischintapur</t>
  </si>
  <si>
    <t xml:space="preserve">E31/1; E43</t>
  </si>
  <si>
    <t xml:space="preserve">Shanpur</t>
  </si>
  <si>
    <t xml:space="preserve">Kadamtala -&gt; [Shanpur] -&gt; Dasnagar</t>
  </si>
  <si>
    <t xml:space="preserve">Shirishtala</t>
  </si>
  <si>
    <t xml:space="preserve">Rajbari -&gt; [Shirishtala] -&gt; Agarhati</t>
  </si>
  <si>
    <t xml:space="preserve">DN16/1; KB16</t>
  </si>
  <si>
    <t xml:space="preserve">Siriti More</t>
  </si>
  <si>
    <t xml:space="preserve">Haridevpur -&gt; [Siriti More] -&gt; Tollygunge Phari</t>
  </si>
  <si>
    <t xml:space="preserve">Sitapur</t>
  </si>
  <si>
    <t xml:space="preserve">Bargachia -&gt; [Sitapur] -&gt; Jangipara</t>
  </si>
  <si>
    <t xml:space="preserve">E13; E72</t>
  </si>
  <si>
    <t xml:space="preserve">South Bishnupur</t>
  </si>
  <si>
    <t xml:space="preserve">Mathurapur Station -&gt; [South Bishnupur] -&gt; Lalpur</t>
  </si>
  <si>
    <t xml:space="preserve">Jagatballavpur -&gt; [Sukanta Park]</t>
  </si>
  <si>
    <t xml:space="preserve">Sukchar Manument</t>
  </si>
  <si>
    <t xml:space="preserve">Titagarh P.S -&gt; [Sukchar Manument] -&gt; Panihati</t>
  </si>
  <si>
    <t xml:space="preserve">E-32; S-32 (Barrackpore - Howrah Railway Station)</t>
  </si>
  <si>
    <t xml:space="preserve">Swarupnagar BDO Office</t>
  </si>
  <si>
    <t xml:space="preserve">Tentulia -&gt; [Swarupnagar BDO Office] -&gt; Malangapara</t>
  </si>
  <si>
    <t xml:space="preserve">Tantipara</t>
  </si>
  <si>
    <t xml:space="preserve">Sabedabagan -&gt; [Tantipara] -&gt; Alambazar More</t>
  </si>
  <si>
    <t xml:space="preserve">K4; MM7</t>
  </si>
  <si>
    <t xml:space="preserve">Tentulia Bazar</t>
  </si>
  <si>
    <t xml:space="preserve">Gurudaspur Hospital More -&gt; [Tentulia Bazar]</t>
  </si>
  <si>
    <t xml:space="preserve">DN38; SD-11/1</t>
  </si>
  <si>
    <t xml:space="preserve">Nischintapur -&gt; [Udainarayanpur] -&gt; Lebutala</t>
  </si>
  <si>
    <t xml:space="preserve">E12; E43</t>
  </si>
  <si>
    <t xml:space="preserve">Srichanda -&gt; [Usthi]</t>
  </si>
  <si>
    <t xml:space="preserve">Yogendranath High School</t>
  </si>
  <si>
    <t xml:space="preserve">Bongaon -&gt; [Yogendranath High School] -&gt; Kalupur</t>
  </si>
  <si>
    <t xml:space="preserve">khardaha Municipality</t>
  </si>
  <si>
    <t xml:space="preserve">Titagarh P.S -&gt; [khardaha Municipality] -&gt; Sodepur</t>
  </si>
  <si>
    <t xml:space="preserve">1 no. railgate bazar</t>
  </si>
  <si>
    <t xml:space="preserve">Bongaon -&gt; [1 no. railgate bazar] -&gt; Kalupur</t>
  </si>
  <si>
    <t xml:space="preserve">10 Mile Bazar</t>
  </si>
  <si>
    <t xml:space="preserve">Namkhana Station -&gt; [10 Mile Bazar] -&gt; Frasergunje</t>
  </si>
  <si>
    <t xml:space="preserve">10 No. Majhipara</t>
  </si>
  <si>
    <t xml:space="preserve">Kanthalberia -&gt; [10 No. Majhipara] -&gt; Baria</t>
  </si>
  <si>
    <t xml:space="preserve">2 No. Tank</t>
  </si>
  <si>
    <t xml:space="preserve">City Center 1 -&gt; [2 No. Tank] -&gt; PNB More</t>
  </si>
  <si>
    <t xml:space="preserve">206 Bus Stand</t>
  </si>
  <si>
    <t xml:space="preserve">Karunamoyee -&gt; [206 Bus Stand] -&gt; Baisakhi More</t>
  </si>
  <si>
    <t xml:space="preserve">5 no. kalimath</t>
  </si>
  <si>
    <t xml:space="preserve">Bagdah -&gt; [5 no. kalimath] -&gt; Helencha</t>
  </si>
  <si>
    <t xml:space="preserve">6 Crossing</t>
  </si>
  <si>
    <t xml:space="preserve">Santragachi -&gt; [6 Crossing] -&gt; Makardaha</t>
  </si>
  <si>
    <t xml:space="preserve">7 point crossing Park Circus</t>
  </si>
  <si>
    <t xml:space="preserve">Park Circus -&gt; [7 point crossing Park Circus] -&gt; Beckbagan</t>
  </si>
  <si>
    <t xml:space="preserve">Abestors More</t>
  </si>
  <si>
    <t xml:space="preserve">Halder Para -&gt; [Abestors More] -&gt; Kidderpore</t>
  </si>
  <si>
    <t xml:space="preserve">Acharipara</t>
  </si>
  <si>
    <t xml:space="preserve">Panchpota -&gt; [Acharipara] -&gt; Purandarpur</t>
  </si>
  <si>
    <t xml:space="preserve">Agunshi More</t>
  </si>
  <si>
    <t xml:space="preserve">Khasnan -&gt; [Agunshi More] -&gt; Khadinan</t>
  </si>
  <si>
    <t xml:space="preserve">Airport (Covers All 4 Gates)</t>
  </si>
  <si>
    <t xml:space="preserve">Birati -&gt; [Airport (Covers All 4 Gates)] -&gt; Haldiram</t>
  </si>
  <si>
    <t xml:space="preserve">Airport Barasat Champadali</t>
  </si>
  <si>
    <t xml:space="preserve">Ultadanga -&gt; [Airport Barasat Champadali] -&gt; Duttapukur</t>
  </si>
  <si>
    <t xml:space="preserve">Airport Gate 2.5</t>
  </si>
  <si>
    <t xml:space="preserve">Airport Gate 1 -&gt; [Airport Gate 2.5] -&gt; Durganagar</t>
  </si>
  <si>
    <t xml:space="preserve">Akansha</t>
  </si>
  <si>
    <t xml:space="preserve">City Centre 2 -&gt; [Akansha] -&gt; Nawabpur</t>
  </si>
  <si>
    <t xml:space="preserve">Akhratala</t>
  </si>
  <si>
    <t xml:space="preserve">Kharampur -&gt; [Akhratala] -&gt; Nazat</t>
  </si>
  <si>
    <t xml:space="preserve">Akobborpur</t>
  </si>
  <si>
    <t xml:space="preserve">Dhulagarh -&gt; [Akobborpur] -&gt; Fatikgachi</t>
  </si>
  <si>
    <t xml:space="preserve">[Akra Rabindra Nagar] -&gt; Santoshpur</t>
  </si>
  <si>
    <t xml:space="preserve">[Akta Bazar] -&gt; Akra Station</t>
  </si>
  <si>
    <t xml:space="preserve">Al Ameen Mission</t>
  </si>
  <si>
    <t xml:space="preserve">Nischintapur -&gt; [Al Ameen Mission] -&gt; Lebutala</t>
  </si>
  <si>
    <t xml:space="preserve">Alipur Rd</t>
  </si>
  <si>
    <t xml:space="preserve">Chetla -&gt; [Alipur Rd] -&gt; Kalighat</t>
  </si>
  <si>
    <t xml:space="preserve">Alipur Zoo</t>
  </si>
  <si>
    <t xml:space="preserve">Ekbalpur -&gt; [Alipur Zoo] -&gt; Exide</t>
  </si>
  <si>
    <t xml:space="preserve">Alpan Diary</t>
  </si>
  <si>
    <t xml:space="preserve">Agarpara -&gt; [Alpan Diary] -&gt; Kamarhati</t>
  </si>
  <si>
    <t xml:space="preserve">Amragachhi</t>
  </si>
  <si>
    <t xml:space="preserve">Daulatpur -&gt; [Amragachhi] -&gt; Rajberia</t>
  </si>
  <si>
    <t xml:space="preserve">Amratal</t>
  </si>
  <si>
    <t xml:space="preserve">Amtala -&gt; [Amratal] -&gt; Nabanna</t>
  </si>
  <si>
    <t xml:space="preserve">Amta New Market</t>
  </si>
  <si>
    <t xml:space="preserve">Shibtala -&gt; [Amta New Market] -&gt; Jala Biswanathpur</t>
  </si>
  <si>
    <t xml:space="preserve">Amta Station</t>
  </si>
  <si>
    <t xml:space="preserve">Amta New Market -&gt; [Amta Station] -&gt; Jala Biswanathpur</t>
  </si>
  <si>
    <t xml:space="preserve">Anchna</t>
  </si>
  <si>
    <t xml:space="preserve">Mandabtala -&gt; [Anchna] -&gt; Brindabanpur</t>
  </si>
  <si>
    <t xml:space="preserve">Apollo</t>
  </si>
  <si>
    <t xml:space="preserve">Bengal Chemical -&gt; [Apollo] -&gt; Saltlake Stadium</t>
  </si>
  <si>
    <t xml:space="preserve">Arabinda Pally</t>
  </si>
  <si>
    <t xml:space="preserve">Patuli -&gt; [Arabinda Pally] -&gt; Peerless Hospital</t>
  </si>
  <si>
    <t xml:space="preserve">Arapanch</t>
  </si>
  <si>
    <t xml:space="preserve">Ramchandrapur -&gt; [Arapanch] -&gt; Kalikapur</t>
  </si>
  <si>
    <t xml:space="preserve">Argori More</t>
  </si>
  <si>
    <t xml:space="preserve">Alampur -&gt; [Argori More] -&gt; Mourigram</t>
  </si>
  <si>
    <t xml:space="preserve">Arsadmiya Ghat</t>
  </si>
  <si>
    <t xml:space="preserve">Mathbari -&gt; [Arsadmiya Ghat] -&gt; Dhamakhali</t>
  </si>
  <si>
    <t xml:space="preserve">Asharu</t>
  </si>
  <si>
    <t xml:space="preserve">Helencha -&gt; [Asharu] -&gt; Bongaon</t>
  </si>
  <si>
    <t xml:space="preserve">Ashokenagar Railgate</t>
  </si>
  <si>
    <t xml:space="preserve">Khosdelpur -&gt; [Ashokenagar Railgate] -&gt; Sherpur Kalibari</t>
  </si>
  <si>
    <t xml:space="preserve">Ashoknagar 5 No. More</t>
  </si>
  <si>
    <t xml:space="preserve">Khosdelpur -&gt; [Ashoknagar 5 No. More] -&gt; Habra</t>
  </si>
  <si>
    <t xml:space="preserve">Ashoknagar Chowrangi</t>
  </si>
  <si>
    <t xml:space="preserve">Sherpur Kalibari -&gt; [Ashoknagar Chowrangi] -&gt; Kalyangarh More</t>
  </si>
  <si>
    <t xml:space="preserve">Ashoknagar Duttapukur</t>
  </si>
  <si>
    <t xml:space="preserve">Habra -&gt; [Ashoknagar Duttapukur] -&gt; Barasat</t>
  </si>
  <si>
    <t xml:space="preserve">Ashwini Nagar</t>
  </si>
  <si>
    <t xml:space="preserve">Jyangra -&gt; [Ashwini Nagar] -&gt; Baguiati</t>
  </si>
  <si>
    <t xml:space="preserve">Asuthwatala</t>
  </si>
  <si>
    <t xml:space="preserve">Amta New Market -&gt; [Asuthwatala] -&gt; Jala Biswanathpur</t>
  </si>
  <si>
    <t xml:space="preserve">Atharobanki More</t>
  </si>
  <si>
    <t xml:space="preserve">Mathbari -&gt; [Atharobanki More] -&gt; Kanthalberia</t>
  </si>
  <si>
    <t xml:space="preserve">Atlas More</t>
  </si>
  <si>
    <t xml:space="preserve">Haraharitala -&gt; [Atlas More] -&gt; Langalberia</t>
  </si>
  <si>
    <t xml:space="preserve">Aturia Bazar</t>
  </si>
  <si>
    <t xml:space="preserve">Baduria -&gt; [Aturia Bazar]</t>
  </si>
  <si>
    <t xml:space="preserve">Authpur</t>
  </si>
  <si>
    <t xml:space="preserve">Jagatdal -&gt; [Authpur] -&gt; Shyamnagar</t>
  </si>
  <si>
    <t xml:space="preserve">Awalsiddhi Chowmatha</t>
  </si>
  <si>
    <t xml:space="preserve">Beledanga -&gt; [Awalsiddhi Chowmatha] -&gt; Adhata</t>
  </si>
  <si>
    <t xml:space="preserve">B.K.Paul Ave</t>
  </si>
  <si>
    <t xml:space="preserve">Nimtala Ghat St -&gt; [B.K.Paul Ave] -&gt; Howrah Bridge East</t>
  </si>
  <si>
    <t xml:space="preserve">BIT College</t>
  </si>
  <si>
    <t xml:space="preserve">Chowbaga -&gt; [BIT College] -&gt; Bamanghata</t>
  </si>
  <si>
    <t xml:space="preserve">BKP</t>
  </si>
  <si>
    <t xml:space="preserve">Lalkuthi -&gt; [BKP] -&gt; Chiriamore</t>
  </si>
  <si>
    <t xml:space="preserve">BNR More</t>
  </si>
  <si>
    <t xml:space="preserve">Babubazar -&gt; [BNR More] -&gt; Garden Reach</t>
  </si>
  <si>
    <t xml:space="preserve">Babanpur</t>
  </si>
  <si>
    <t xml:space="preserve">Mathrangi -&gt; [Babanpur] -&gt; Kayrapur</t>
  </si>
  <si>
    <t xml:space="preserve">Deuli -&gt; [Baburhat]</t>
  </si>
  <si>
    <t xml:space="preserve">Badamtala</t>
  </si>
  <si>
    <t xml:space="preserve">Nimta -&gt; [Badamtala] -&gt; Belghoria</t>
  </si>
  <si>
    <t xml:space="preserve">Badarhat</t>
  </si>
  <si>
    <t xml:space="preserve">Bira Chowmatha -&gt; [Badarhat] -&gt; Subarnapur</t>
  </si>
  <si>
    <t xml:space="preserve">Badir More</t>
  </si>
  <si>
    <t xml:space="preserve">Jhautala -&gt; [Badir More] -&gt; Situri</t>
  </si>
  <si>
    <t xml:space="preserve">Badu Bazar</t>
  </si>
  <si>
    <t xml:space="preserve">Krishnamati -&gt; [Badu Bazar] -&gt; Madhyamgram</t>
  </si>
  <si>
    <t xml:space="preserve">Baduria Bazar</t>
  </si>
  <si>
    <t xml:space="preserve">Rudrapur -&gt; [Baduria Bazar] -&gt; Taragunia</t>
  </si>
  <si>
    <t xml:space="preserve">Bagangora</t>
  </si>
  <si>
    <t xml:space="preserve">Dhulagarh -&gt; [Bagangora] -&gt; Fatikgachi</t>
  </si>
  <si>
    <t xml:space="preserve">Bagirhat</t>
  </si>
  <si>
    <t xml:space="preserve">Bishnupur PS -&gt; [Bagirhat] -&gt; Khariberia</t>
  </si>
  <si>
    <t xml:space="preserve">Bagjola Bazar</t>
  </si>
  <si>
    <t xml:space="preserve">Matikumra -&gt; [Bagjola Bazar] -&gt; Rudrapur</t>
  </si>
  <si>
    <t xml:space="preserve">Bagmari Bazar</t>
  </si>
  <si>
    <t xml:space="preserve">Manicktala -&gt; [Bagmari Bazar] -&gt; Kankurgachi</t>
  </si>
  <si>
    <t xml:space="preserve">Bagmore</t>
  </si>
  <si>
    <t xml:space="preserve">Kanchrapara -&gt; [Bagmore] -&gt; Halisahar</t>
  </si>
  <si>
    <t xml:space="preserve">Bagnan Kolaghat</t>
  </si>
  <si>
    <t xml:space="preserve">Ranihati -&gt; [Bagnan Kolaghat] -&gt; Mecheda</t>
  </si>
  <si>
    <t xml:space="preserve">Bagnan Thana More</t>
  </si>
  <si>
    <t xml:space="preserve">Bagnan -&gt; [Bagnan Thana More] -&gt; Uluberia</t>
  </si>
  <si>
    <t xml:space="preserve">Bahirsona More</t>
  </si>
  <si>
    <t xml:space="preserve">Canning Station -&gt; [Bahirsona More] -&gt; Taldi</t>
  </si>
  <si>
    <t xml:space="preserve">Baidyapur Kanchkal</t>
  </si>
  <si>
    <t xml:space="preserve">Kadambagachi -&gt; [Baidyapur Kanchkal] -&gt; Biswanathpur</t>
  </si>
  <si>
    <t xml:space="preserve">Baikunthapur</t>
  </si>
  <si>
    <t xml:space="preserve">Lakshmi More -&gt; [Baikunthapur]</t>
  </si>
  <si>
    <t xml:space="preserve">Bailani Bazar</t>
  </si>
  <si>
    <t xml:space="preserve">Hasnabad Station -&gt; [Bailani Bazar]</t>
  </si>
  <si>
    <t xml:space="preserve">Baita</t>
  </si>
  <si>
    <t xml:space="preserve">Chandra -&gt; [Baita] -&gt; Jhargram</t>
  </si>
  <si>
    <t xml:space="preserve">Bakeshwar</t>
  </si>
  <si>
    <t xml:space="preserve">Julpia -&gt; [Bakeshwar] -&gt; Kabardanga</t>
  </si>
  <si>
    <t xml:space="preserve">Bakrakpur College</t>
  </si>
  <si>
    <t xml:space="preserve">Barrackpore Court -&gt; [Bakrakpur College] -&gt; Talpukur</t>
  </si>
  <si>
    <t xml:space="preserve">[Balaka Housing (EcoPark)] -&gt; Narkelbagan</t>
  </si>
  <si>
    <t xml:space="preserve">[Baluhati] -&gt; Jagadishpur</t>
  </si>
  <si>
    <t xml:space="preserve">Bamondanga</t>
  </si>
  <si>
    <t xml:space="preserve">Salap -&gt; [Bamondanga] -&gt; Rajchandrapur</t>
  </si>
  <si>
    <t xml:space="preserve">Bamunmura</t>
  </si>
  <si>
    <t xml:space="preserve">Shimultala -&gt; [Bamunmura] -&gt; Pirgacha</t>
  </si>
  <si>
    <t xml:space="preserve">Banbania</t>
  </si>
  <si>
    <t xml:space="preserve">Chanda -&gt; [Banbania] -&gt; Habra</t>
  </si>
  <si>
    <t xml:space="preserve">Bantala Leather Complex</t>
  </si>
  <si>
    <t xml:space="preserve">Science City -&gt; [Bantala Leather Complex] -&gt; Ghatakpukur</t>
  </si>
  <si>
    <t xml:space="preserve">Banungachi Station Road</t>
  </si>
  <si>
    <t xml:space="preserve">Duttapukur -&gt; [Banungachi Station Road] -&gt; Barasat Champadali</t>
  </si>
  <si>
    <t xml:space="preserve">Barakpur Chiriamore</t>
  </si>
  <si>
    <t xml:space="preserve">Barrackpore Court -&gt; [Barakpur Chiriamore] -&gt; Talpukur</t>
  </si>
  <si>
    <t xml:space="preserve">Baranagar Municipality</t>
  </si>
  <si>
    <t xml:space="preserve">Alambazar -&gt; [Baranagar Municipality] -&gt; Baghbazar</t>
  </si>
  <si>
    <t xml:space="preserve">[Barasat Algaria] -&gt; Kathgola</t>
  </si>
  <si>
    <t xml:space="preserve">Barasat Chapadali</t>
  </si>
  <si>
    <t xml:space="preserve">Duttapukur -&gt; [Barasat Chapadali] -&gt; Airport</t>
  </si>
  <si>
    <t xml:space="preserve">Barasat Colony More</t>
  </si>
  <si>
    <t xml:space="preserve">Airport Gate -&gt; [Barasat Colony More] -&gt; Jaguli</t>
  </si>
  <si>
    <t xml:space="preserve">Barasat Dakbunglow More</t>
  </si>
  <si>
    <t xml:space="preserve">Barasat -&gt; [Barasat Dakbunglow More] -&gt; Madhyamgram Chowmatha</t>
  </si>
  <si>
    <t xml:space="preserve">[Barasat Kazipara] -&gt; Hridaypur</t>
  </si>
  <si>
    <t xml:space="preserve">[Barasat Kazipara depot] -&gt; Champadali</t>
  </si>
  <si>
    <t xml:space="preserve">Colony More -&gt; [Barasat Moyna Check Post]</t>
  </si>
  <si>
    <t xml:space="preserve">Barasat State University</t>
  </si>
  <si>
    <t xml:space="preserve">Noapara -&gt; [Barasat State University] -&gt; Jagannathpur</t>
  </si>
  <si>
    <t xml:space="preserve">Barbadia</t>
  </si>
  <si>
    <t xml:space="preserve">Noapara -&gt; [Barbadia] -&gt; Jagannathpur</t>
  </si>
  <si>
    <t xml:space="preserve">Barda</t>
  </si>
  <si>
    <t xml:space="preserve">Nischintapur -&gt; [Barda] -&gt; Lebutala</t>
  </si>
  <si>
    <t xml:space="preserve">Bardhaman</t>
  </si>
  <si>
    <t xml:space="preserve">Dankuni -&gt; [Bardhaman] -&gt; Durgapur City Centre</t>
  </si>
  <si>
    <t xml:space="preserve">Bardhaman Station</t>
  </si>
  <si>
    <t xml:space="preserve">Shaktigarh -&gt; [Bardhaman Station] -&gt; Bahadurpur</t>
  </si>
  <si>
    <t xml:space="preserve">Bargram More</t>
  </si>
  <si>
    <t xml:space="preserve">[Bargram More] -&gt; Karatberia</t>
  </si>
  <si>
    <t xml:space="preserve">Barnaberia</t>
  </si>
  <si>
    <t xml:space="preserve">Angrail -&gt; [Barnaberia] -&gt; Kahankia</t>
  </si>
  <si>
    <t xml:space="preserve">Barrackpore Talpukur</t>
  </si>
  <si>
    <t xml:space="preserve">Khardaha -&gt; [Barrackpore Talpukur] -&gt; Barrackpore Court</t>
  </si>
  <si>
    <t xml:space="preserve">Barshal</t>
  </si>
  <si>
    <t xml:space="preserve">Tarapith -&gt; [Barshal]</t>
  </si>
  <si>
    <t xml:space="preserve">Bartala Bazar</t>
  </si>
  <si>
    <t xml:space="preserve">Santoshpur Station -&gt; [Bartala Bazar] -&gt; Metiabruz</t>
  </si>
  <si>
    <t xml:space="preserve">[Baruipur Fultala] -&gt; Baruipur Hospital</t>
  </si>
  <si>
    <t xml:space="preserve">Baruipur Kachari Bazar</t>
  </si>
  <si>
    <t xml:space="preserve">Baruipur Hospital -&gt; [Baruipur Kachari Bazar] -&gt; Gobindopur</t>
  </si>
  <si>
    <t xml:space="preserve">Baruipur Rabindra Bhawan</t>
  </si>
  <si>
    <t xml:space="preserve">Uttarbhag -&gt; [Baruipur Rabindra Bhawan] -&gt; Baruipur Hospital</t>
  </si>
  <si>
    <t xml:space="preserve">Basanti Bridge</t>
  </si>
  <si>
    <t xml:space="preserve">Basanti -&gt; [Basanti Bridge] -&gt; Sonakhali Bus Stand</t>
  </si>
  <si>
    <t xml:space="preserve">Bashiram Bazar</t>
  </si>
  <si>
    <t xml:space="preserve">Sonakhali Bus Stand -&gt; [Bashiram Bazar] -&gt; Hiranmoypur</t>
  </si>
  <si>
    <t xml:space="preserve">Basirhat Chowmatha</t>
  </si>
  <si>
    <t xml:space="preserve">Kholapota -&gt; [Basirhat Chowmatha] -&gt; Bhyabla Halt</t>
  </si>
  <si>
    <t xml:space="preserve">Basubati -&gt; [Basubati Darbar Sharif]</t>
  </si>
  <si>
    <t xml:space="preserve">Basundharia</t>
  </si>
  <si>
    <t xml:space="preserve">Amtala -&gt; [Basundharia] -&gt; Nabanna</t>
  </si>
  <si>
    <t xml:space="preserve">Battala</t>
  </si>
  <si>
    <t xml:space="preserve">Chaital -&gt; [Battala] -&gt; Bhebia</t>
  </si>
  <si>
    <t xml:space="preserve">Beadon Street</t>
  </si>
  <si>
    <t xml:space="preserve">Sovabazar -&gt; [Beadon Street] -&gt; Jorabagan</t>
  </si>
  <si>
    <t xml:space="preserve">Bedon Squre</t>
  </si>
  <si>
    <t xml:space="preserve">Manicktala -&gt; [Bedon Squre] -&gt; Howrah Bridge East</t>
  </si>
  <si>
    <t xml:space="preserve">Beleghata CIT Building</t>
  </si>
  <si>
    <t xml:space="preserve">Saltlake Stadium -&gt; [Beleghata CIT Building] -&gt; Chingrighata</t>
  </si>
  <si>
    <t xml:space="preserve">Beleghata ID hospital</t>
  </si>
  <si>
    <t xml:space="preserve">Building More -&gt; [Beleghata ID hospital] -&gt; CIT More</t>
  </si>
  <si>
    <t xml:space="preserve">Belgachi</t>
  </si>
  <si>
    <t xml:space="preserve">South Bishnupur -&gt; [Belgachi] -&gt; Lalpur</t>
  </si>
  <si>
    <t xml:space="preserve">Belgharia Rathtala</t>
  </si>
  <si>
    <t xml:space="preserve">Kamarhati -&gt; [Belgharia Rathtala] -&gt; Dunlop</t>
  </si>
  <si>
    <t xml:space="preserve">[Belgharia Teachers Colony] -&gt; Nilgunge Road</t>
  </si>
  <si>
    <t xml:space="preserve">Beliaghata Bazar</t>
  </si>
  <si>
    <t xml:space="preserve">Kadambagachi -&gt; [Beliaghata Bazar] -&gt; Deganga</t>
  </si>
  <si>
    <t xml:space="preserve">Beliaghata Bridge</t>
  </si>
  <si>
    <t xml:space="preserve">Kadambagachi -&gt; [Beliaghata Bridge] -&gt; Biswanathpur</t>
  </si>
  <si>
    <t xml:space="preserve">Beliaghata Main Road</t>
  </si>
  <si>
    <t xml:space="preserve">Joramandir -&gt; [Beliaghata Main Road] -&gt; Central Park</t>
  </si>
  <si>
    <t xml:space="preserve">Beltala</t>
  </si>
  <si>
    <t xml:space="preserve">Lansdowne Crossing -&gt; [Beltala] -&gt; Padmapukur</t>
  </si>
  <si>
    <t xml:space="preserve">Benar More</t>
  </si>
  <si>
    <t xml:space="preserve">Chandipur -&gt; [Benar More] -&gt; Ramchandrapur Bazar</t>
  </si>
  <si>
    <t xml:space="preserve">Betai Bandor More</t>
  </si>
  <si>
    <t xml:space="preserve">Kalatala -&gt; [Betai Bandor More] -&gt; Jhikira</t>
  </si>
  <si>
    <t xml:space="preserve">Betai Bondor More</t>
  </si>
  <si>
    <t xml:space="preserve">Shibtala -&gt; [Betai Bondor More] -&gt; Amta New Market</t>
  </si>
  <si>
    <t xml:space="preserve">Betore More</t>
  </si>
  <si>
    <t xml:space="preserve">Santragachi -&gt; [Betore More] -&gt; Mandirtala</t>
  </si>
  <si>
    <t xml:space="preserve">Bhabani Bhawan Hazra</t>
  </si>
  <si>
    <t xml:space="preserve">Alipore Zoo -&gt; [Bhabani Bhawan Hazra] -&gt; Rashbehari</t>
  </si>
  <si>
    <t xml:space="preserve">Bhagabanpur More</t>
  </si>
  <si>
    <t xml:space="preserve">Bhagabatipur -&gt; [Bhagabanpur More] -&gt; Sarasberia</t>
  </si>
  <si>
    <t xml:space="preserve">Bhagabatipur</t>
  </si>
  <si>
    <t xml:space="preserve">Kulpi -&gt; [Bhagabatipur] -&gt; Sarasberia</t>
  </si>
  <si>
    <t xml:space="preserve">Bhandarkhali</t>
  </si>
  <si>
    <t xml:space="preserve">Hasnabad Station -&gt; [Bhandarkhali]</t>
  </si>
  <si>
    <t xml:space="preserve">Shonepur -&gt; [Bhangore]</t>
  </si>
  <si>
    <t xml:space="preserve">Bhavan</t>
  </si>
  <si>
    <t xml:space="preserve">Baisakhi -&gt; [Bhavan] -&gt; Karunamoyee</t>
  </si>
  <si>
    <t xml:space="preserve">Bichali Ghar</t>
  </si>
  <si>
    <t xml:space="preserve">Metiabruz -&gt; [Bichali Ghar] -&gt; Fatehpur</t>
  </si>
  <si>
    <t xml:space="preserve">Bidhhanagar College</t>
  </si>
  <si>
    <t xml:space="preserve">PNB -&gt; [Bidhhanagar College] -&gt; Central Park</t>
  </si>
  <si>
    <t xml:space="preserve">Ramnarayanpur -&gt; [Bijaygunge bazar (Lakshmikantapur)]</t>
  </si>
  <si>
    <t xml:space="preserve">Binala</t>
  </si>
  <si>
    <t xml:space="preserve">Nischintapur -&gt; [Binala] -&gt; Lebutala</t>
  </si>
  <si>
    <t xml:space="preserve">[Birati Tantkal] -&gt; Birati</t>
  </si>
  <si>
    <t xml:space="preserve">Bishnu Cotton Mill</t>
  </si>
  <si>
    <t xml:space="preserve">Noapara -&gt; [Bishnu Cotton Mill] -&gt; Jagannathpur</t>
  </si>
  <si>
    <t xml:space="preserve">Bishpuriya</t>
  </si>
  <si>
    <t xml:space="preserve">Chhatna -&gt; [Bishpuriya] -&gt; Hura</t>
  </si>
  <si>
    <t xml:space="preserve">Sheakhala -&gt; [Bisunupur]</t>
  </si>
  <si>
    <t xml:space="preserve">Biswashati Bazar</t>
  </si>
  <si>
    <t xml:space="preserve">Matikumra -&gt; [Biswashati Bazar] -&gt; Rudrapur</t>
  </si>
  <si>
    <t xml:space="preserve">Majlishpur -&gt; [Boalghata]</t>
  </si>
  <si>
    <t xml:space="preserve">Bokchara Bazar</t>
  </si>
  <si>
    <t xml:space="preserve">Gaighata -&gt; [Bokchara Bazar] -&gt; Nahata</t>
  </si>
  <si>
    <t xml:space="preserve">Bokunda</t>
  </si>
  <si>
    <t xml:space="preserve">Kadambagachi -&gt; [Bokunda] -&gt; Biswanathpur</t>
  </si>
  <si>
    <t xml:space="preserve">Bonchakhali bazar</t>
  </si>
  <si>
    <t xml:space="preserve">Helencha -&gt; [Bonchakhali bazar] -&gt; Bongaon</t>
  </si>
  <si>
    <t xml:space="preserve">Bongaon 78E Bus Stand</t>
  </si>
  <si>
    <t xml:space="preserve">[Bongaon 78E Bus Stand] -&gt; Kalupur</t>
  </si>
  <si>
    <t xml:space="preserve">[Bongaon Motigunge Bus Stand] -&gt; Kalupur</t>
  </si>
  <si>
    <t xml:space="preserve">Bongaon Paikpara</t>
  </si>
  <si>
    <t xml:space="preserve">Helencha -&gt; [Bongaon Paikpara] -&gt; Bongaon</t>
  </si>
  <si>
    <t xml:space="preserve">Bonhooghly Tobin Road</t>
  </si>
  <si>
    <t xml:space="preserve">Dunlop -&gt; [Bonhooghly Tobin Road] -&gt; Sinthee More</t>
  </si>
  <si>
    <t xml:space="preserve">Bonhoogly (ISI)</t>
  </si>
  <si>
    <t xml:space="preserve">Dunlop -&gt; [Bonhoogly (ISI)] -&gt; Tobin Road</t>
  </si>
  <si>
    <t xml:space="preserve">Boro Kanthalia More</t>
  </si>
  <si>
    <t xml:space="preserve">Nilgunge -&gt; [Boro Kanthalia More] -&gt; Nonachandanpukur</t>
  </si>
  <si>
    <t xml:space="preserve">[Boshirhat boardghat] -&gt; Madartala</t>
  </si>
  <si>
    <t xml:space="preserve">Brahmaner More</t>
  </si>
  <si>
    <t xml:space="preserve">Sarasberia -&gt; [Brahmaner More] -&gt; Milan More</t>
  </si>
  <si>
    <t xml:space="preserve">Bridge 4</t>
  </si>
  <si>
    <t xml:space="preserve">C.I.T. Road -&gt; [Bridge 4] -&gt; Topsia</t>
  </si>
  <si>
    <t xml:space="preserve">Bridge No.4</t>
  </si>
  <si>
    <t xml:space="preserve">Topsia -&gt; [Bridge No.4] -&gt; C.I.T. Road</t>
  </si>
  <si>
    <t xml:space="preserve">Budge Budge Hospital</t>
  </si>
  <si>
    <t xml:space="preserve">Nungi -&gt; [Budge Budge Hospital] -&gt; Charial</t>
  </si>
  <si>
    <t xml:space="preserve">Budhigram</t>
  </si>
  <si>
    <t xml:space="preserve">Bahadurpur -&gt; [Budhigram] -&gt; Tarapith</t>
  </si>
  <si>
    <t xml:space="preserve">Burashibtala Main Road</t>
  </si>
  <si>
    <t xml:space="preserve">Behala -&gt; [Burashibtala Main Road] -&gt; New Alipore Petrol pump</t>
  </si>
  <si>
    <t xml:space="preserve">C.R. Avn. Xing</t>
  </si>
  <si>
    <t xml:space="preserve">Girish Park -&gt; [C.R. Avn. Xing] -&gt; M.G Road crossing</t>
  </si>
  <si>
    <t xml:space="preserve">CC1</t>
  </si>
  <si>
    <t xml:space="preserve">PNB -&gt; [CC1] -&gt; Central Park</t>
  </si>
  <si>
    <t xml:space="preserve">CITRd. Xing</t>
  </si>
  <si>
    <t xml:space="preserve">Beliaghata -&gt; [CITRd. Xing] -&gt; Phoolbagan</t>
  </si>
  <si>
    <t xml:space="preserve">CTC Depot</t>
  </si>
  <si>
    <t xml:space="preserve">Kazipara -&gt; [CTC Depot] -&gt; Shimultala</t>
  </si>
  <si>
    <t xml:space="preserve">Calcutta Technical School</t>
  </si>
  <si>
    <t xml:space="preserve">Nilgunge -&gt; [Calcutta Technical School] -&gt; Nonachandanpukur</t>
  </si>
  <si>
    <t xml:space="preserve">Canal Bridge(East)</t>
  </si>
  <si>
    <t xml:space="preserve">Sealdah -&gt; [Canal Bridge(East)] -&gt; Rashmoni Bazar</t>
  </si>
  <si>
    <t xml:space="preserve">Cannel Bridge</t>
  </si>
  <si>
    <t xml:space="preserve">Sealdah -&gt; [Cannel Bridge] -&gt; Rashmoni Bazar</t>
  </si>
  <si>
    <t xml:space="preserve">Central garage</t>
  </si>
  <si>
    <t xml:space="preserve">Park Circus 7-Point -&gt; [Central garage] -&gt; Moulali</t>
  </si>
  <si>
    <t xml:space="preserve">Chakhana</t>
  </si>
  <si>
    <t xml:space="preserve">Amta New Market -&gt; [Chakhana] -&gt; Jala Biswanathpur</t>
  </si>
  <si>
    <t xml:space="preserve">Champatala</t>
  </si>
  <si>
    <t xml:space="preserve">Podra -&gt; [Champatala]</t>
  </si>
  <si>
    <t xml:space="preserve">Chandabazar</t>
  </si>
  <si>
    <t xml:space="preserve">Helencha -&gt; [Chandabazar] -&gt; Bongaon</t>
  </si>
  <si>
    <t xml:space="preserve">Chandaneshwar</t>
  </si>
  <si>
    <t xml:space="preserve">Sundia -&gt; [Chandaneshwar] -&gt; Jhautala</t>
  </si>
  <si>
    <t xml:space="preserve">Chandkhali</t>
  </si>
  <si>
    <t xml:space="preserve">Kalidanga -&gt; [Chandkhali] -&gt; Matgaran</t>
  </si>
  <si>
    <t xml:space="preserve">Changabottala</t>
  </si>
  <si>
    <t xml:space="preserve">Bagdah -&gt; [Changabottala] -&gt; Helencha</t>
  </si>
  <si>
    <t xml:space="preserve">Chapa tola</t>
  </si>
  <si>
    <t xml:space="preserve">Bakultala -&gt; [Chapa tola]</t>
  </si>
  <si>
    <t xml:space="preserve">Colony More -&gt; [Chapadali(shuttle)]</t>
  </si>
  <si>
    <t xml:space="preserve">Charapole</t>
  </si>
  <si>
    <t xml:space="preserve">Jaguli More -&gt; [Charapole] -&gt; Kampa More</t>
  </si>
  <si>
    <t xml:space="preserve">Chatra Bazar</t>
  </si>
  <si>
    <t xml:space="preserve">Chongda More -&gt; [Chatra Bazar] -&gt; Kalupur</t>
  </si>
  <si>
    <t xml:space="preserve">Chaulkhola</t>
  </si>
  <si>
    <t xml:space="preserve">Gujarpur -&gt; [Chaulkhola] -&gt; Gadiara</t>
  </si>
  <si>
    <t xml:space="preserve">Ruby -&gt; [China Mandir]</t>
  </si>
  <si>
    <t xml:space="preserve">Chingrihata-SDF</t>
  </si>
  <si>
    <t xml:space="preserve">Science City -&gt; [Chingrihata-SDF] -&gt; College More</t>
  </si>
  <si>
    <t xml:space="preserve">Chiria More Barrackpore</t>
  </si>
  <si>
    <t xml:space="preserve">Khardaha -&gt; [Chiria More Barrackpore] -&gt; Barrackpore Court</t>
  </si>
  <si>
    <t xml:space="preserve">Chitpur Crossing</t>
  </si>
  <si>
    <t xml:space="preserve">Burrabazar -&gt; [Chitpur Crossing] -&gt; M.G Road crossing</t>
  </si>
  <si>
    <t xml:space="preserve">Chitrasenpur</t>
  </si>
  <si>
    <t xml:space="preserve">Nischintapur -&gt; [Chitrasenpur] -&gt; Lebutala</t>
  </si>
  <si>
    <t xml:space="preserve">Choatia</t>
  </si>
  <si>
    <t xml:space="preserve">Helencha -&gt; [Choatia] -&gt; Sindrani</t>
  </si>
  <si>
    <t xml:space="preserve">Chouberia Chowrasta</t>
  </si>
  <si>
    <t xml:space="preserve">Kashtodanga -&gt; [Chouberia Chowrasta] -&gt; Nahata</t>
  </si>
  <si>
    <t xml:space="preserve">Chowalkhola</t>
  </si>
  <si>
    <t xml:space="preserve">Bajkul -&gt; [Chowalkhola] -&gt; Digha</t>
  </si>
  <si>
    <t xml:space="preserve">Chowdhury Chak</t>
  </si>
  <si>
    <t xml:space="preserve">Bhagabatipur -&gt; [Chowdhury Chak] -&gt; Sarasberia</t>
  </si>
  <si>
    <t xml:space="preserve">Chowmuha</t>
  </si>
  <si>
    <t xml:space="preserve">Kharibari -&gt; [Chowmuha] -&gt; Krishnamati</t>
  </si>
  <si>
    <t xml:space="preserve">Chria</t>
  </si>
  <si>
    <t xml:space="preserve">Dum Dum -&gt; [Chria] -&gt; Shyambazar</t>
  </si>
  <si>
    <t xml:space="preserve">Chria more Dumdum</t>
  </si>
  <si>
    <t xml:space="preserve">Shyambazar -&gt; [Chria more Dumdum] -&gt; Sinthi</t>
  </si>
  <si>
    <t xml:space="preserve">College ghat</t>
  </si>
  <si>
    <t xml:space="preserve">Helencha -&gt; [College ghat] -&gt; Bongaon</t>
  </si>
  <si>
    <t xml:space="preserve">Companir Thek</t>
  </si>
  <si>
    <t xml:space="preserve">Kashinagar -&gt; [Companir Thek] -&gt; Raidighi</t>
  </si>
  <si>
    <t xml:space="preserve">Contai Central bus stand</t>
  </si>
  <si>
    <t xml:space="preserve">Bajkul -&gt; [Contai Central bus stand] -&gt; Digha</t>
  </si>
  <si>
    <t xml:space="preserve">Cossipur</t>
  </si>
  <si>
    <t xml:space="preserve">Alambazar -&gt; [Cossipur] -&gt; Baghbazar</t>
  </si>
  <si>
    <t xml:space="preserve">Cossipur Udyanbati</t>
  </si>
  <si>
    <t xml:space="preserve">Alambazar -&gt; [Cossipur Udyanbati] -&gt; Baghbazar</t>
  </si>
  <si>
    <t xml:space="preserve">Cotai bypass</t>
  </si>
  <si>
    <t xml:space="preserve">Bajkul -&gt; [Cotai bypass] -&gt; Digha</t>
  </si>
  <si>
    <t xml:space="preserve">Culture More</t>
  </si>
  <si>
    <t xml:space="preserve">Nimta -&gt; [Culture More] -&gt; Badamtala</t>
  </si>
  <si>
    <t xml:space="preserve">D.H Road</t>
  </si>
  <si>
    <t xml:space="preserve">Thakurpukur 3A -&gt; [D.H Road] -&gt; Taratala</t>
  </si>
  <si>
    <t xml:space="preserve">Dackbalglow More</t>
  </si>
  <si>
    <t xml:space="preserve">Barasat -&gt; [Dackbalglow More] -&gt; Madhyamgram</t>
  </si>
  <si>
    <t xml:space="preserve">[Dakghar (Bagmari)] -&gt; Shibrampur</t>
  </si>
  <si>
    <t xml:space="preserve">[Dakghar (Chattabazar)] -&gt; Jhinjhira Bazar</t>
  </si>
  <si>
    <t xml:space="preserve">Dakhineswar</t>
  </si>
  <si>
    <t xml:space="preserve">Dunlop -&gt; [Dakhineswar] -&gt; Ballyhalt</t>
  </si>
  <si>
    <t xml:space="preserve">Dakshin Birampur</t>
  </si>
  <si>
    <t xml:space="preserve">Bhagabatipur -&gt; [Dakshin Birampur] -&gt; Sarasberia</t>
  </si>
  <si>
    <t xml:space="preserve">Dallpur</t>
  </si>
  <si>
    <t xml:space="preserve">Chhatna -&gt; [Dallpur] -&gt; Hura</t>
  </si>
  <si>
    <t xml:space="preserve">Dargah Road</t>
  </si>
  <si>
    <t xml:space="preserve">Park Circus 7-Point -&gt; [Dargah Road] -&gt; Topsia</t>
  </si>
  <si>
    <t xml:space="preserve">Daripukur</t>
  </si>
  <si>
    <t xml:space="preserve">Mirhati -&gt; [Daripukur] -&gt; Khilkapur</t>
  </si>
  <si>
    <t xml:space="preserve">[Daspara] -&gt; Nayabad</t>
  </si>
  <si>
    <t xml:space="preserve">Dayarampur Bazar</t>
  </si>
  <si>
    <t xml:space="preserve">Kulpi -&gt; [Dayarampur Bazar] -&gt; Bhagabatipur</t>
  </si>
  <si>
    <t xml:space="preserve">Debaloy Hadipur Post Office</t>
  </si>
  <si>
    <t xml:space="preserve">Berachampa -&gt; [Debaloy Hadipur Post Office] -&gt; Adampur</t>
  </si>
  <si>
    <t xml:space="preserve">Decathlon</t>
  </si>
  <si>
    <t xml:space="preserve">Uluberia -&gt; [Decathlon] -&gt; Panchla</t>
  </si>
  <si>
    <t xml:space="preserve">Deuli</t>
  </si>
  <si>
    <t xml:space="preserve">Minakhan -&gt; [Deuli]</t>
  </si>
  <si>
    <t xml:space="preserve">Dewandighi</t>
  </si>
  <si>
    <t xml:space="preserve">Shaktigarh -&gt; [Dewandighi] -&gt; Bahadurpur</t>
  </si>
  <si>
    <t xml:space="preserve">Dhalai</t>
  </si>
  <si>
    <t xml:space="preserve">Kamalgazi -&gt; [Dhalai] -&gt; Patuli</t>
  </si>
  <si>
    <t xml:space="preserve">Dhamisa</t>
  </si>
  <si>
    <t xml:space="preserve">Panchla -&gt; [Dhamisa] -&gt; Ranihati</t>
  </si>
  <si>
    <t xml:space="preserve">Dhamua</t>
  </si>
  <si>
    <t xml:space="preserve">Amtala -&gt; [Dhamua] -&gt; Nabanna</t>
  </si>
  <si>
    <t xml:space="preserve">Dhankal</t>
  </si>
  <si>
    <t xml:space="preserve">Bishnupur PS -&gt; [Dhankal] -&gt; Khariberia</t>
  </si>
  <si>
    <t xml:space="preserve">Dhanpota</t>
  </si>
  <si>
    <t xml:space="preserve">Shyamnagar -&gt; [Dhanpota] -&gt; Mazompur</t>
  </si>
  <si>
    <t xml:space="preserve">Dharmapukuria</t>
  </si>
  <si>
    <t xml:space="preserve">Helencha -&gt; [Dharmapukuria] -&gt; Bongaon</t>
  </si>
  <si>
    <t xml:space="preserve">Dherua</t>
  </si>
  <si>
    <t xml:space="preserve">Chandra -&gt; [Dherua] -&gt; Jhargram</t>
  </si>
  <si>
    <t xml:space="preserve">Dhibdhiba</t>
  </si>
  <si>
    <t xml:space="preserve">Chandpur -&gt; [Dhibdhiba] -&gt; Shyamnagar</t>
  </si>
  <si>
    <t xml:space="preserve">Dholahat More</t>
  </si>
  <si>
    <t xml:space="preserve">Bhagabatipur -&gt; [Dholahat More] -&gt; Sarasberia</t>
  </si>
  <si>
    <t xml:space="preserve">Dhulagarh Bazar</t>
  </si>
  <si>
    <t xml:space="preserve">Dhulagarh -&gt; [Dhulagarh Bazar] -&gt; Fatikgachi</t>
  </si>
  <si>
    <t xml:space="preserve">Dhulagarh Toll Plaza</t>
  </si>
  <si>
    <t xml:space="preserve">Dhulagarh -&gt; [Dhulagarh Toll Plaza] -&gt; Alampur</t>
  </si>
  <si>
    <t xml:space="preserve">Lebutala -&gt; [Dihibhurshut]</t>
  </si>
  <si>
    <t xml:space="preserve">Dockyard</t>
  </si>
  <si>
    <t xml:space="preserve">Halder Para -&gt; [Dockyard] -&gt; Kidderpore</t>
  </si>
  <si>
    <t xml:space="preserve">Domjur BDO office Dakshin bari</t>
  </si>
  <si>
    <t xml:space="preserve">Makardaha -&gt; [Domjur BDO office Dakshin bari] -&gt; Bargachia</t>
  </si>
  <si>
    <t xml:space="preserve">Doperia</t>
  </si>
  <si>
    <t xml:space="preserve">[Doperia] -&gt; Kalyan Nagar</t>
  </si>
  <si>
    <t xml:space="preserve">Dukhirampool</t>
  </si>
  <si>
    <t xml:space="preserve">Malancha -&gt; [Dukhirampool] -&gt; Nazat</t>
  </si>
  <si>
    <t xml:space="preserve">[Dumdum Canton] -&gt; Central Jail</t>
  </si>
  <si>
    <t xml:space="preserve">Dumurjola Housing Complex</t>
  </si>
  <si>
    <t xml:space="preserve">Kadamtala -&gt; [Dumurjola Housing Complex] -&gt; Notun Rastar More</t>
  </si>
  <si>
    <t xml:space="preserve">Durgapur Bridge</t>
  </si>
  <si>
    <t xml:space="preserve">New Alipore -&gt; [Durgapur Bridge] -&gt; Rashbehari</t>
  </si>
  <si>
    <t xml:space="preserve">Durgapur City Center</t>
  </si>
  <si>
    <t xml:space="preserve">Panagarh -&gt; [Durgapur City Center] -&gt; Raniganj</t>
  </si>
  <si>
    <t xml:space="preserve">Durgapur City Centre</t>
  </si>
  <si>
    <t xml:space="preserve">Dankuni -&gt; [Durgapur City Centre] -&gt; Durgapur</t>
  </si>
  <si>
    <t xml:space="preserve">Durgapur Expressway</t>
  </si>
  <si>
    <t xml:space="preserve">Dankuni -&gt; [Durgapur Expressway] -&gt; Burdwan</t>
  </si>
  <si>
    <t xml:space="preserve">EM Byapss</t>
  </si>
  <si>
    <t xml:space="preserve">Ultadanga -&gt; [EM Byapss] -&gt; Belaghata</t>
  </si>
  <si>
    <t xml:space="preserve">EM Byepass</t>
  </si>
  <si>
    <t xml:space="preserve">Panchanan Gram -&gt; [EM Byepass] -&gt; Topsia Road Xing</t>
  </si>
  <si>
    <t xml:space="preserve">EM Bypass New Garia</t>
  </si>
  <si>
    <t xml:space="preserve">Ajoynagar -&gt; [EM Bypass New Garia] -&gt; Garia Station</t>
  </si>
  <si>
    <t xml:space="preserve">Eastern Club</t>
  </si>
  <si>
    <t xml:space="preserve">Nazrul Tirtha -&gt; [Eastern Club] -&gt; Mahishbathan</t>
  </si>
  <si>
    <t xml:space="preserve">Eastern Enclave</t>
  </si>
  <si>
    <t xml:space="preserve">Technopolis -&gt; [Eastern Enclave] -&gt; Coal India</t>
  </si>
  <si>
    <t xml:space="preserve">Eden City Gate</t>
  </si>
  <si>
    <t xml:space="preserve">[Eden City Gate] -&gt; Nungi More</t>
  </si>
  <si>
    <t xml:space="preserve">Eksara More</t>
  </si>
  <si>
    <t xml:space="preserve">Chamrail -&gt; [Eksara More] -&gt; Kona More</t>
  </si>
  <si>
    <t xml:space="preserve">Entally Market</t>
  </si>
  <si>
    <t xml:space="preserve">Jora Girja -&gt; [Entally Market] -&gt; Moulali</t>
  </si>
  <si>
    <t xml:space="preserve">FCI Godown</t>
  </si>
  <si>
    <t xml:space="preserve">Rajchandrapur -&gt; [FCI Godown]</t>
  </si>
  <si>
    <t xml:space="preserve">Fakirtala</t>
  </si>
  <si>
    <t xml:space="preserve">Agarhati -&gt; [Fakirtala] -&gt; Dhamakhali</t>
  </si>
  <si>
    <t xml:space="preserve">Fansitala</t>
  </si>
  <si>
    <t xml:space="preserve">Tikiapara -&gt; [Fansitala]</t>
  </si>
  <si>
    <t xml:space="preserve">Fatehpur 28 No</t>
  </si>
  <si>
    <t xml:space="preserve">Bichali Ghat -&gt; [Fatehpur 28 No] -&gt; Kidderpore</t>
  </si>
  <si>
    <t xml:space="preserve">[Fatickgachi] -&gt; Dhulagarh</t>
  </si>
  <si>
    <t xml:space="preserve">Ferry Ghat</t>
  </si>
  <si>
    <t xml:space="preserve">Milan More -&gt; [Ferry Ghat] -&gt; Subhash Nagar</t>
  </si>
  <si>
    <t xml:space="preserve">Barrackpore Court -&gt; [Fishery Gate]</t>
  </si>
  <si>
    <t xml:space="preserve">Fulbari</t>
  </si>
  <si>
    <t xml:space="preserve">Kashtodanga -&gt; [Fulbari] -&gt; Nahata</t>
  </si>
  <si>
    <t xml:space="preserve">Futisanko</t>
  </si>
  <si>
    <t xml:space="preserve">Shaktigarh -&gt; [Futisanko] -&gt; Bahadurpur</t>
  </si>
  <si>
    <t xml:space="preserve">Gabtola Bazar</t>
  </si>
  <si>
    <t xml:space="preserve">Hatishala -&gt; [Gabtola Bazar] -&gt; Saduli</t>
  </si>
  <si>
    <t xml:space="preserve">Gadarati</t>
  </si>
  <si>
    <t xml:space="preserve">Taragunia -&gt; [Gadarati] -&gt; Kholapota</t>
  </si>
  <si>
    <t xml:space="preserve">[Gaighata (Habra)] -&gt; Joygachhi</t>
  </si>
  <si>
    <t xml:space="preserve">Gajar more</t>
  </si>
  <si>
    <t xml:space="preserve">Champadanga -&gt; [Gajar more] -&gt; Chanditala</t>
  </si>
  <si>
    <t xml:space="preserve">Galiff Street</t>
  </si>
  <si>
    <t xml:space="preserve">Alambazar -&gt; [Galiff Street] -&gt; Baghbazar</t>
  </si>
  <si>
    <t xml:space="preserve">[Ganganagar] -&gt; B.T. College</t>
  </si>
  <si>
    <t xml:space="preserve">B.T. College -&gt; [Ganganagar Julien Day School]</t>
  </si>
  <si>
    <t xml:space="preserve">Gangraguri</t>
  </si>
  <si>
    <t xml:space="preserve">Bishnupur -&gt; [Gangraguri] -&gt; Patharghata</t>
  </si>
  <si>
    <t xml:space="preserve">Ganguli Bagan</t>
  </si>
  <si>
    <t xml:space="preserve">Garia -&gt; [Ganguli Bagan] -&gt; Baghajatin</t>
  </si>
  <si>
    <t xml:space="preserve">Ganjer Bazar</t>
  </si>
  <si>
    <t xml:space="preserve">Dhola -&gt; [Ganjer Bazar]</t>
  </si>
  <si>
    <t xml:space="preserve">Garapota</t>
  </si>
  <si>
    <t xml:space="preserve">Helencha -&gt; [Garapota] -&gt; Bongaon</t>
  </si>
  <si>
    <t xml:space="preserve">Garia Bazar</t>
  </si>
  <si>
    <t xml:space="preserve">Garia -&gt; [Garia Bazar] -&gt; Dinabandhu Andrews College</t>
  </si>
  <si>
    <t xml:space="preserve">Gariahgat</t>
  </si>
  <si>
    <t xml:space="preserve">Ruby -&gt; [Gariahgat] -&gt; Rashbihari</t>
  </si>
  <si>
    <t xml:space="preserve">Gazna Bazar</t>
  </si>
  <si>
    <t xml:space="preserve">Jamdani -&gt; [Gazna Bazar] -&gt; Sutia</t>
  </si>
  <si>
    <t xml:space="preserve">Ghasiara</t>
  </si>
  <si>
    <t xml:space="preserve">Sonarpur -&gt; [Ghasiara] -&gt; Ramchandrapur</t>
  </si>
  <si>
    <t xml:space="preserve">Ghatbaor</t>
  </si>
  <si>
    <t xml:space="preserve">Helencha -&gt; [Ghatbaor] -&gt; Bongaon</t>
  </si>
  <si>
    <t xml:space="preserve">Ghatur More</t>
  </si>
  <si>
    <t xml:space="preserve">Amtala -&gt; [Ghatur More] -&gt; Jalilpur</t>
  </si>
  <si>
    <t xml:space="preserve">Gheedah</t>
  </si>
  <si>
    <t xml:space="preserve">Nonachandanpukur -&gt; [Gheedah] -&gt; Jagannathpur</t>
  </si>
  <si>
    <t xml:space="preserve">Goakhali</t>
  </si>
  <si>
    <t xml:space="preserve">Kadambagachi -&gt; [Goakhali] -&gt; Biswanathpur</t>
  </si>
  <si>
    <t xml:space="preserve">Goakhali More</t>
  </si>
  <si>
    <t xml:space="preserve">Kadambagachi -&gt; [Goakhali More] -&gt; Pakdaha</t>
  </si>
  <si>
    <t xml:space="preserve">Goalbathan</t>
  </si>
  <si>
    <t xml:space="preserve">Bithari -&gt; [Goalbathan] -&gt; Nityanandakati</t>
  </si>
  <si>
    <t xml:space="preserve">Gobardanga Goipur</t>
  </si>
  <si>
    <t xml:space="preserve">Matikumra -&gt; [Gobardanga Goipur] -&gt; Rudrapur</t>
  </si>
  <si>
    <t xml:space="preserve">Gobra More</t>
  </si>
  <si>
    <t xml:space="preserve">Amtala -&gt; [Gobra More] -&gt; Jalilpur</t>
  </si>
  <si>
    <t xml:space="preserve">Gokna</t>
  </si>
  <si>
    <t xml:space="preserve">Jadurhati -&gt; [Gokna] -&gt; Baduria</t>
  </si>
  <si>
    <t xml:space="preserve">Golaknagar</t>
  </si>
  <si>
    <t xml:space="preserve">[Golaknagar] -&gt; Kalupur</t>
  </si>
  <si>
    <t xml:space="preserve">Gourhati</t>
  </si>
  <si>
    <t xml:space="preserve">Bandar -&gt; [Gourhati] -&gt; Purshura</t>
  </si>
  <si>
    <t xml:space="preserve">Gourhati More</t>
  </si>
  <si>
    <t xml:space="preserve">Panchla -&gt; [Gourhati More] -&gt; Dhulasimla</t>
  </si>
  <si>
    <t xml:space="preserve">Gray St</t>
  </si>
  <si>
    <t xml:space="preserve">Shyambazar -&gt; [Gray St] -&gt; Vivekananda Road</t>
  </si>
  <si>
    <t xml:space="preserve">Gurdah</t>
  </si>
  <si>
    <t xml:space="preserve">Basudebpur -&gt; [Gurdah] -&gt; Keutia</t>
  </si>
  <si>
    <t xml:space="preserve">Gurjorpur</t>
  </si>
  <si>
    <t xml:space="preserve">Gadiara -&gt; [Gurjorpur] -&gt; Shyampur</t>
  </si>
  <si>
    <t xml:space="preserve">[Gurudaspur] -&gt; Milan More</t>
  </si>
  <si>
    <t xml:space="preserve">Gurudaspur Hospital More</t>
  </si>
  <si>
    <t xml:space="preserve">Rathtala -&gt; [Gurudaspur Hospital More]</t>
  </si>
  <si>
    <t xml:space="preserve">Gustia More</t>
  </si>
  <si>
    <t xml:space="preserve">Krishnamati -&gt; [Gustia More] -&gt; Madhyamgram</t>
  </si>
  <si>
    <t xml:space="preserve">Fatehpur -&gt; [H M Ghosh College]</t>
  </si>
  <si>
    <t xml:space="preserve">H.B. Town</t>
  </si>
  <si>
    <t xml:space="preserve">Muragacha -&gt; [H.B. Town] -&gt; Sodepur Station</t>
  </si>
  <si>
    <t xml:space="preserve">Habra Deshbandhu Park</t>
  </si>
  <si>
    <t xml:space="preserve">Khosdelpur -&gt; [Habra Deshbandhu Park] -&gt; Habra</t>
  </si>
  <si>
    <t xml:space="preserve">Habra Manasabari</t>
  </si>
  <si>
    <t xml:space="preserve">Kalyangarh -&gt; [Habra Manasabari] -&gt; Habra</t>
  </si>
  <si>
    <t xml:space="preserve">Habra Mansabari</t>
  </si>
  <si>
    <t xml:space="preserve">Habra -&gt; [Habra Mansabari] -&gt; Kalyangarh</t>
  </si>
  <si>
    <t xml:space="preserve">[Habra WBTC depot] -&gt; Habra Rail station</t>
  </si>
  <si>
    <t xml:space="preserve">Hadipur Colony</t>
  </si>
  <si>
    <t xml:space="preserve">Berachampa -&gt; [Hadipur Colony] -&gt; Adampur</t>
  </si>
  <si>
    <t xml:space="preserve">Hagnagari</t>
  </si>
  <si>
    <t xml:space="preserve">Chapra -&gt; [Hagnagari] -&gt; Karimpur</t>
  </si>
  <si>
    <t xml:space="preserve">Haidarpur</t>
  </si>
  <si>
    <t xml:space="preserve">Matikumra -&gt; [Haidarpur] -&gt; Rudrapur</t>
  </si>
  <si>
    <t xml:space="preserve">Hamadama</t>
  </si>
  <si>
    <t xml:space="preserve">Berachampa -&gt; [Hamadama] -&gt; Adampur</t>
  </si>
  <si>
    <t xml:space="preserve">Hansia</t>
  </si>
  <si>
    <t xml:space="preserve">Kayrapur -&gt; [Hansia] -&gt; Basudebpur</t>
  </si>
  <si>
    <t xml:space="preserve">Haridashpur</t>
  </si>
  <si>
    <t xml:space="preserve">Khandalia -&gt; [Haridashpur] -&gt; Bhadura</t>
  </si>
  <si>
    <t xml:space="preserve">Mazompur -&gt; [Haroa Bridge]</t>
  </si>
  <si>
    <t xml:space="preserve">Haroa Railgate</t>
  </si>
  <si>
    <t xml:space="preserve">Berachampa -&gt; [Haroa Railgate] -&gt; Adampur</t>
  </si>
  <si>
    <t xml:space="preserve">Harop Bazar</t>
  </si>
  <si>
    <t xml:space="preserve">Khasnan -&gt; [Harop Bazar] -&gt; Khadinan</t>
  </si>
  <si>
    <t xml:space="preserve">Hatkhola Bazar</t>
  </si>
  <si>
    <t xml:space="preserve">Matikumra -&gt; [Hatkhola Bazar] -&gt; Rudrapur</t>
  </si>
  <si>
    <t xml:space="preserve">Hela Battala More</t>
  </si>
  <si>
    <t xml:space="preserve">Noapara -&gt; [Hela Battala More] -&gt; Jagannathpur</t>
  </si>
  <si>
    <t xml:space="preserve">Heria</t>
  </si>
  <si>
    <t xml:space="preserve">Bajkul -&gt; [Heria] -&gt; Digha</t>
  </si>
  <si>
    <t xml:space="preserve">Hiranmoypur</t>
  </si>
  <si>
    <t xml:space="preserve">Sonakhali Bus Stand -&gt; [Hiranmoypur] -&gt; Nimtala</t>
  </si>
  <si>
    <t xml:space="preserve">Hirghata</t>
  </si>
  <si>
    <t xml:space="preserve">Balti -&gt; [Hirghata] -&gt; Nabatkati</t>
  </si>
  <si>
    <t xml:space="preserve">Hoglasi</t>
  </si>
  <si>
    <t xml:space="preserve">Kathilabar -&gt; [Hoglasi] -&gt; Belpukur</t>
  </si>
  <si>
    <t xml:space="preserve">Howrah Railway Station -&gt; [Howrah Fire Station]</t>
  </si>
  <si>
    <t xml:space="preserve">IBM</t>
  </si>
  <si>
    <t xml:space="preserve">College More -&gt; [IBM] -&gt; Wipro</t>
  </si>
  <si>
    <t xml:space="preserve">IIMC Hospital</t>
  </si>
  <si>
    <t xml:space="preserve">Sonarpur -&gt; [IIMC Hospital] -&gt; Mission Pally</t>
  </si>
  <si>
    <t xml:space="preserve">Ichapur Jaltank</t>
  </si>
  <si>
    <t xml:space="preserve">Kadamtala -&gt; [Ichapur Jaltank] -&gt; Notun Rastar More</t>
  </si>
  <si>
    <t xml:space="preserve">Indiranagar</t>
  </si>
  <si>
    <t xml:space="preserve">Reckjuani -&gt; [Indiranagar] -&gt; Raigachhi</t>
  </si>
  <si>
    <t xml:space="preserve">Indralok More</t>
  </si>
  <si>
    <t xml:space="preserve">[Indralok More] -&gt; Sodepur Station</t>
  </si>
  <si>
    <t xml:space="preserve">Indranarayanpur</t>
  </si>
  <si>
    <t xml:space="preserve">Gurudaspur Hospital More -&gt; [Indranarayanpur]</t>
  </si>
  <si>
    <t xml:space="preserve">J.K.Island</t>
  </si>
  <si>
    <t xml:space="preserve">Hastings -&gt; [J.K.Island] -&gt; Mayo Road</t>
  </si>
  <si>
    <t xml:space="preserve">[Jafarpur(Barasat)] -&gt; Champadali More</t>
  </si>
  <si>
    <t xml:space="preserve">Jagadishpur Hospital</t>
  </si>
  <si>
    <t xml:space="preserve">Bhagabatipur -&gt; [Jagadishpur Hospital] -&gt; Sarasberia</t>
  </si>
  <si>
    <t xml:space="preserve">Jagat Cinema Hall</t>
  </si>
  <si>
    <t xml:space="preserve">Prachi Cinema Hall -&gt; [Jagat Cinema Hall] -&gt; Rajabazar</t>
  </si>
  <si>
    <t xml:space="preserve">Jagulgachi</t>
  </si>
  <si>
    <t xml:space="preserve">Saihati -&gt; [Jagulgachi] -&gt; Ghatakpukur</t>
  </si>
  <si>
    <t xml:space="preserve">Jaguli Anandapur</t>
  </si>
  <si>
    <t xml:space="preserve">Rajberia -&gt; [Jaguli Anandapur]</t>
  </si>
  <si>
    <t xml:space="preserve">Garia Metro -&gt; [Jainpur]</t>
  </si>
  <si>
    <t xml:space="preserve">Jalan Gate</t>
  </si>
  <si>
    <t xml:space="preserve">Alampur -&gt; [Jalan Gate] -&gt; Ankurhati</t>
  </si>
  <si>
    <t xml:space="preserve">Jalkol</t>
  </si>
  <si>
    <t xml:space="preserve">Bata More -&gt; [Jalkol] -&gt; Taratala</t>
  </si>
  <si>
    <t xml:space="preserve">Jamalpur More</t>
  </si>
  <si>
    <t xml:space="preserve">Bhagabatipur -&gt; [Jamalpur More] -&gt; Sarasberia</t>
  </si>
  <si>
    <t xml:space="preserve">Jangalpur</t>
  </si>
  <si>
    <t xml:space="preserve">Bagjola -&gt; [Jangalpur] -&gt; Rudrapur</t>
  </si>
  <si>
    <t xml:space="preserve">Jashoda More</t>
  </si>
  <si>
    <t xml:space="preserve">Gurudaspur Hospital More -&gt; [Jashoda More]</t>
  </si>
  <si>
    <t xml:space="preserve">Jayanti</t>
  </si>
  <si>
    <t xml:space="preserve">Ranihati -&gt; [Jayanti] -&gt; Tikiapara</t>
  </si>
  <si>
    <t xml:space="preserve">Jhawdanga</t>
  </si>
  <si>
    <t xml:space="preserve">Angrail -&gt; [Jhawdanga] -&gt; Kahankia</t>
  </si>
  <si>
    <t xml:space="preserve">Jhikra Bazar</t>
  </si>
  <si>
    <t xml:space="preserve">Hapania -&gt; [Jhikra Bazar] -&gt; Chanda</t>
  </si>
  <si>
    <t xml:space="preserve">Jitpur</t>
  </si>
  <si>
    <t xml:space="preserve">Krishnanagar -&gt; [Jitpur]</t>
  </si>
  <si>
    <t xml:space="preserve">Joypur PS</t>
  </si>
  <si>
    <t xml:space="preserve">Kalatala -&gt; [Joypur PS] -&gt; Jhikira</t>
  </si>
  <si>
    <t xml:space="preserve">Jujursha</t>
  </si>
  <si>
    <t xml:space="preserve">Dhulagarh -&gt; [Jujursha] -&gt; Fatikgachi</t>
  </si>
  <si>
    <t xml:space="preserve">Jyotishpur</t>
  </si>
  <si>
    <t xml:space="preserve">Sonakhali Bus Stand -&gt; [Jyotishpur] -&gt; Hiranmoypur</t>
  </si>
  <si>
    <t xml:space="preserve">KBKC</t>
  </si>
  <si>
    <t xml:space="preserve">Stadium Island -&gt; [KBKC] -&gt; GD Island</t>
  </si>
  <si>
    <t xml:space="preserve">Salap -&gt; [KWIC]</t>
  </si>
  <si>
    <t xml:space="preserve">Kachhi sarab</t>
  </si>
  <si>
    <t xml:space="preserve">Babubazar -&gt; [Kachhi sarab] -&gt; Garden Reach</t>
  </si>
  <si>
    <t xml:space="preserve">Baduria -&gt; [Kaijuri Bazar]</t>
  </si>
  <si>
    <t xml:space="preserve">Kajiberia</t>
  </si>
  <si>
    <t xml:space="preserve">Mankur More -&gt; [Kajiberia] -&gt; Bakshi</t>
  </si>
  <si>
    <t xml:space="preserve">Kalambagan market</t>
  </si>
  <si>
    <t xml:space="preserve">Helencha -&gt; [Kalambagan market] -&gt; Bongaon</t>
  </si>
  <si>
    <t xml:space="preserve">Kalibabu Bazar</t>
  </si>
  <si>
    <t xml:space="preserve">Dalalpukur -&gt; [Kalibabu Bazar] -&gt; Kadamtala</t>
  </si>
  <si>
    <t xml:space="preserve">Kalikapur Avishikta</t>
  </si>
  <si>
    <t xml:space="preserve">Singhabari -&gt; [Kalikapur Avishikta] -&gt; Ruby</t>
  </si>
  <si>
    <t xml:space="preserve">Kalipur More</t>
  </si>
  <si>
    <t xml:space="preserve">Chanditala -&gt; [Kalipur More] -&gt; Jagadishpur</t>
  </si>
  <si>
    <t xml:space="preserve">Kalitala bazar</t>
  </si>
  <si>
    <t xml:space="preserve">Bargachia -&gt; [Kalitala bazar] -&gt; Ichanagari</t>
  </si>
  <si>
    <t xml:space="preserve">Kalitola</t>
  </si>
  <si>
    <t xml:space="preserve">Dhulagarh -&gt; [Kalitola] -&gt; Fatikgachi</t>
  </si>
  <si>
    <t xml:space="preserve">Kalur More</t>
  </si>
  <si>
    <t xml:space="preserve">Bishnupur -&gt; [Kalur More] -&gt; Patharghata</t>
  </si>
  <si>
    <t xml:space="preserve">Rajberia -&gt; [Kalyani (Jagulia)]</t>
  </si>
  <si>
    <t xml:space="preserve">Kalyanpur Panchayat</t>
  </si>
  <si>
    <t xml:space="preserve">Dhopagachi -&gt; [Kalyanpur Panchayat] -&gt; Padmapukur</t>
  </si>
  <si>
    <t xml:space="preserve">[Kamardanga] -&gt; Ichapur More</t>
  </si>
  <si>
    <t xml:space="preserve">[Kamarhati Rathtala] -&gt; Dunlop</t>
  </si>
  <si>
    <t xml:space="preserve">Kamduni More</t>
  </si>
  <si>
    <t xml:space="preserve">Kharibari -&gt; [Kamduni More] -&gt; Krishnamati</t>
  </si>
  <si>
    <t xml:space="preserve">Kanchantala</t>
  </si>
  <si>
    <t xml:space="preserve">Krishnamati -&gt; [Kanchantala] -&gt; Madhyamgram</t>
  </si>
  <si>
    <t xml:space="preserve">Kanchkal</t>
  </si>
  <si>
    <t xml:space="preserve">Sodpur Traffic More -&gt; [Kanchkal] -&gt; Ghola</t>
  </si>
  <si>
    <t xml:space="preserve">Kankpul School</t>
  </si>
  <si>
    <t xml:space="preserve">Kalyangarh -&gt; [Kankpul School] -&gt; Kankpul More</t>
  </si>
  <si>
    <t xml:space="preserve">Kantala</t>
  </si>
  <si>
    <t xml:space="preserve">Bantala -&gt; [Kantala] -&gt; Ghatakpukur</t>
  </si>
  <si>
    <t xml:space="preserve">Kantaltala</t>
  </si>
  <si>
    <t xml:space="preserve">Bamanghata -&gt; [Kantaltala] -&gt; Kolkata Leather Complex</t>
  </si>
  <si>
    <t xml:space="preserve">Kanthalberia Hospital More</t>
  </si>
  <si>
    <t xml:space="preserve">Bhangankhali -&gt; [Kanthalberia Hospital More] -&gt; Matla Bridge</t>
  </si>
  <si>
    <t xml:space="preserve">Kanthalia</t>
  </si>
  <si>
    <t xml:space="preserve">Shonepur -&gt; [Kanthalia]</t>
  </si>
  <si>
    <t xml:space="preserve">Karaidanga</t>
  </si>
  <si>
    <t xml:space="preserve">Bantala -&gt; [Karaidanga] -&gt; Ghatakpukur</t>
  </si>
  <si>
    <t xml:space="preserve">[Kasba Rathtala] -&gt; Ballygunge Station</t>
  </si>
  <si>
    <t xml:space="preserve">Kashimpur</t>
  </si>
  <si>
    <t xml:space="preserve">Dakshineswar -&gt; [Kashimpur] -&gt; Santoshpur</t>
  </si>
  <si>
    <t xml:space="preserve">Katakhal</t>
  </si>
  <si>
    <t xml:space="preserve">B.T. College -&gt; [Katakhal]</t>
  </si>
  <si>
    <t xml:space="preserve">Katiahat</t>
  </si>
  <si>
    <t xml:space="preserve">Kefayetkati -&gt; [Katiahat] -&gt; Aturia</t>
  </si>
  <si>
    <t xml:space="preserve">Kautala</t>
  </si>
  <si>
    <t xml:space="preserve">Tentultala -&gt; [Kautala] -&gt; Kashinagar</t>
  </si>
  <si>
    <t xml:space="preserve">Kayosa Bazar</t>
  </si>
  <si>
    <t xml:space="preserve">Chandipur -&gt; [Kayosa Bazar] -&gt; Ramchandrapur Bazar</t>
  </si>
  <si>
    <t xml:space="preserve">Kayrapur</t>
  </si>
  <si>
    <t xml:space="preserve">Mathrangi -&gt; [Kayrapur] -&gt; Basudebpur</t>
  </si>
  <si>
    <t xml:space="preserve">Kazibari More</t>
  </si>
  <si>
    <t xml:space="preserve">Lalkuthi -&gt; [Kazibari More]</t>
  </si>
  <si>
    <t xml:space="preserve">Kazipara Depot</t>
  </si>
  <si>
    <t xml:space="preserve">Barasat -&gt; [Kazipara Depot] -&gt; Kadambagachi</t>
  </si>
  <si>
    <t xml:space="preserve">Kedar Ashram</t>
  </si>
  <si>
    <t xml:space="preserve">Haraharitala -&gt; [Kedar Ashram] -&gt; Langalberia</t>
  </si>
  <si>
    <t xml:space="preserve">Kefayetkati</t>
  </si>
  <si>
    <t xml:space="preserve">Gandharbapur -&gt; [Kefayetkati] -&gt; Aturia</t>
  </si>
  <si>
    <t xml:space="preserve">Kemia More</t>
  </si>
  <si>
    <t xml:space="preserve">Krishnamati -&gt; [Kemia More] -&gt; Madhyamgram</t>
  </si>
  <si>
    <t xml:space="preserve">Khalna Bazar</t>
  </si>
  <si>
    <t xml:space="preserve">Kulepairi -&gt; [Khalna Bazar] -&gt; Khejurdaha</t>
  </si>
  <si>
    <t xml:space="preserve">Kharagpur Chowrangee</t>
  </si>
  <si>
    <t xml:space="preserve">Basantapur -&gt; [Kharagpur Chowrangee] -&gt; Chandra</t>
  </si>
  <si>
    <t xml:space="preserve">Khardha</t>
  </si>
  <si>
    <t xml:space="preserve">Titagarh P.S -&gt; [Khardha] -&gt; Panihati</t>
  </si>
  <si>
    <t xml:space="preserve">Khardha Bazar</t>
  </si>
  <si>
    <t xml:space="preserve">Titagarh P.S -&gt; [Khardha Bazar] -&gt; Panihati</t>
  </si>
  <si>
    <t xml:space="preserve">Khargram</t>
  </si>
  <si>
    <t xml:space="preserve">Bahadurpur -&gt; [Khargram] -&gt; Tarapith</t>
  </si>
  <si>
    <t xml:space="preserve">Kharuberia</t>
  </si>
  <si>
    <t xml:space="preserve">Shyampur -&gt; [Kharuberia] -&gt; Garchumuk</t>
  </si>
  <si>
    <t xml:space="preserve">Khaspur</t>
  </si>
  <si>
    <t xml:space="preserve">Nagar Kachua -&gt; [Khaspur] -&gt; Jadurhati</t>
  </si>
  <si>
    <t xml:space="preserve">Khatpool</t>
  </si>
  <si>
    <t xml:space="preserve">Naihati Station -&gt; [Khatpool] -&gt; Naihati</t>
  </si>
  <si>
    <t xml:space="preserve">Khatura Bazar</t>
  </si>
  <si>
    <t xml:space="preserve">Chongda More -&gt; [Khatura Bazar] -&gt; Jamdani</t>
  </si>
  <si>
    <t xml:space="preserve">Kheriberia</t>
  </si>
  <si>
    <t xml:space="preserve">3A Bus Stand -&gt; [Kheriberia] -&gt; Amtala</t>
  </si>
  <si>
    <t xml:space="preserve">Khiderpur Tram Depot</t>
  </si>
  <si>
    <t xml:space="preserve">Khiderpur -&gt; [Khiderpur Tram Depot] -&gt; Hide Road</t>
  </si>
  <si>
    <t xml:space="preserve">Khotirbazar</t>
  </si>
  <si>
    <t xml:space="preserve">South Bishnupur -&gt; [Khotirbazar] -&gt; Lalpur</t>
  </si>
  <si>
    <t xml:space="preserve">[Khudiram Park (Sarsuna)] -&gt; Sarsuna</t>
  </si>
  <si>
    <t xml:space="preserve">Khulna</t>
  </si>
  <si>
    <t xml:space="preserve">Hasnabad Station -&gt; [Khulna]</t>
  </si>
  <si>
    <t xml:space="preserve">Kilkhana</t>
  </si>
  <si>
    <t xml:space="preserve">Palmer Bazar -&gt; [Kilkhana] -&gt; Tangra</t>
  </si>
  <si>
    <t xml:space="preserve">Kirtonkhola Sashan Bazar</t>
  </si>
  <si>
    <t xml:space="preserve">Baruipur Hospital -&gt; [Kirtonkhola Sashan Bazar] -&gt; Gocharan</t>
  </si>
  <si>
    <t xml:space="preserve">Baikunthapur -&gt; [Kishorimohonpur]</t>
  </si>
  <si>
    <t xml:space="preserve">Kona high road</t>
  </si>
  <si>
    <t xml:space="preserve">Salap -&gt; [Kona high road] -&gt; Rajchandrapur</t>
  </si>
  <si>
    <t xml:space="preserve">Kotoputa</t>
  </si>
  <si>
    <t xml:space="preserve">Dhulagarh -&gt; [Kotoputa] -&gt; Fatikgachi</t>
  </si>
  <si>
    <t xml:space="preserve">Kowgachi</t>
  </si>
  <si>
    <t xml:space="preserve">Kayrapur -&gt; [Kowgachi] -&gt; Basudebpur</t>
  </si>
  <si>
    <t xml:space="preserve">Kuli</t>
  </si>
  <si>
    <t xml:space="preserve">Bahadurpur -&gt; [Kuli] -&gt; Tarapith</t>
  </si>
  <si>
    <t xml:space="preserve">Kuliagarh</t>
  </si>
  <si>
    <t xml:space="preserve">Hamidpur -&gt; [Kuliagarh] -&gt; Saheb Colony</t>
  </si>
  <si>
    <t xml:space="preserve">Kumarchak</t>
  </si>
  <si>
    <t xml:space="preserve">Nischintapur -&gt; [Kumarchak] -&gt; Lebutala</t>
  </si>
  <si>
    <t xml:space="preserve">Kumirmari Bazar</t>
  </si>
  <si>
    <t xml:space="preserve">Nafargange -&gt; [Kumirmari Bazar] -&gt; Jharkhali</t>
  </si>
  <si>
    <t xml:space="preserve">Kumorpally</t>
  </si>
  <si>
    <t xml:space="preserve">Matikumra -&gt; [Kumorpally] -&gt; Rudrapur</t>
  </si>
  <si>
    <t xml:space="preserve">Tollygunj Tram Depot -&gt; [Kundghat]</t>
  </si>
  <si>
    <t xml:space="preserve">Kundubari</t>
  </si>
  <si>
    <t xml:space="preserve">Mathrangi -&gt; [Kundubari] -&gt; Kayrapur</t>
  </si>
  <si>
    <t xml:space="preserve">Kurchi</t>
  </si>
  <si>
    <t xml:space="preserve">Nischintapur -&gt; [Kurchi] -&gt; Lebutala</t>
  </si>
  <si>
    <t xml:space="preserve">Lakshmikantapur Station</t>
  </si>
  <si>
    <t xml:space="preserve">Kulpi -&gt; [Lakshmikantapur Station] -&gt; Bhagabatipur</t>
  </si>
  <si>
    <t xml:space="preserve">Lalbari</t>
  </si>
  <si>
    <t xml:space="preserve">Haraharitala -&gt; [Lalbari] -&gt; Langalberia</t>
  </si>
  <si>
    <t xml:space="preserve">Laxmi Bazar</t>
  </si>
  <si>
    <t xml:space="preserve">Gadiara -&gt; [Laxmi Bazar] -&gt; Shyampur</t>
  </si>
  <si>
    <t xml:space="preserve">Lohapoll</t>
  </si>
  <si>
    <t xml:space="preserve">Topsia Road Xing -&gt; [Lohapoll] -&gt; Middle Rd</t>
  </si>
  <si>
    <t xml:space="preserve">M.L.Gupta Road</t>
  </si>
  <si>
    <t xml:space="preserve">Sakherbazar -&gt; [M.L.Gupta Road] -&gt; Muchipara</t>
  </si>
  <si>
    <t xml:space="preserve">MARINE COLLEGE</t>
  </si>
  <si>
    <t xml:space="preserve">T.DEPOT -&gt; [MARINE COLLEGE] -&gt; New Alipore</t>
  </si>
  <si>
    <t xml:space="preserve">Madhusankati</t>
  </si>
  <si>
    <t xml:space="preserve">Jamdani -&gt; [Madhusankati] -&gt; Sutia</t>
  </si>
  <si>
    <t xml:space="preserve">Magra Bazar</t>
  </si>
  <si>
    <t xml:space="preserve">Matikumra -&gt; [Magra Bazar] -&gt; Rudrapur</t>
  </si>
  <si>
    <t xml:space="preserve">Magurkhali Bridge</t>
  </si>
  <si>
    <t xml:space="preserve">Amtala -&gt; [Magurkhali Bridge] -&gt; Nabanna</t>
  </si>
  <si>
    <t xml:space="preserve">Mahishali Jagadishpur More</t>
  </si>
  <si>
    <t xml:space="preserve">Panchla -&gt; [Mahishali Jagadishpur More] -&gt; Dhulasimla</t>
  </si>
  <si>
    <t xml:space="preserve">Mahishgari</t>
  </si>
  <si>
    <t xml:space="preserve">Langolpota -&gt; [Mahishgari] -&gt; Kharibari</t>
  </si>
  <si>
    <t xml:space="preserve">Binodpur -&gt; [Maipith]</t>
  </si>
  <si>
    <t xml:space="preserve">Maipith Bazar</t>
  </si>
  <si>
    <t xml:space="preserve">Lakshmi More -&gt; [Maipith Bazar] -&gt; Baikunthapur</t>
  </si>
  <si>
    <t xml:space="preserve">Maipith Coastal</t>
  </si>
  <si>
    <t xml:space="preserve">Binodpur -&gt; [Maipith Coastal]</t>
  </si>
  <si>
    <t xml:space="preserve">Maitrobagan</t>
  </si>
  <si>
    <t xml:space="preserve">Kholapota -&gt; [Maitrobagan] -&gt; Basirhat 72 Bus Stand</t>
  </si>
  <si>
    <t xml:space="preserve">Makrampur</t>
  </si>
  <si>
    <t xml:space="preserve">Kalikapur -&gt; [Makrampur] -&gt; Prasadpur</t>
  </si>
  <si>
    <t xml:space="preserve">Malancha Phari</t>
  </si>
  <si>
    <t xml:space="preserve">Haraharitala -&gt; [Malancha Phari] -&gt; Langalberia</t>
  </si>
  <si>
    <t xml:space="preserve">[Malipanchghara] -&gt; Golabarai PS</t>
  </si>
  <si>
    <t xml:space="preserve">Malipota</t>
  </si>
  <si>
    <t xml:space="preserve">Nataberia -&gt; [Malipota] -&gt; Bajitpur</t>
  </si>
  <si>
    <t xml:space="preserve">Mallickbari</t>
  </si>
  <si>
    <t xml:space="preserve">Malangapara -&gt; [Mallickbari] -&gt; Sarapul</t>
  </si>
  <si>
    <t xml:space="preserve">Mallickpur Tematha</t>
  </si>
  <si>
    <t xml:space="preserve">Balti -&gt; [Mallickpur Tematha] -&gt; Nabatkati</t>
  </si>
  <si>
    <t xml:space="preserve">Mamudpur</t>
  </si>
  <si>
    <t xml:space="preserve">Sreepally -&gt; [Mamudpur] -&gt; Goalbagi</t>
  </si>
  <si>
    <t xml:space="preserve">Manasabari Bazar</t>
  </si>
  <si>
    <t xml:space="preserve">Kalyangarh More -&gt; [Manasabari Bazar] -&gt; Habra</t>
  </si>
  <si>
    <t xml:space="preserve">Manashatala</t>
  </si>
  <si>
    <t xml:space="preserve">Nischintapur -&gt; [Manashatala] -&gt; Lebutala</t>
  </si>
  <si>
    <t xml:space="preserve">Mandalpur</t>
  </si>
  <si>
    <t xml:space="preserve">Chongda More -&gt; [Mandalpur] -&gt; Kalupur</t>
  </si>
  <si>
    <t xml:space="preserve">Mandir Gate</t>
  </si>
  <si>
    <t xml:space="preserve">Kamalgazi -&gt; [Mandir Gate] -&gt; Narendrapur</t>
  </si>
  <si>
    <t xml:space="preserve">Manigaon</t>
  </si>
  <si>
    <t xml:space="preserve">Helencha -&gt; [Manigaon] -&gt; Bongaon</t>
  </si>
  <si>
    <t xml:space="preserve">Manikpir More</t>
  </si>
  <si>
    <t xml:space="preserve">Madhabpur More -&gt; [Manikpir More] -&gt; Dakshin Durgapur</t>
  </si>
  <si>
    <t xml:space="preserve">Manikpur</t>
  </si>
  <si>
    <t xml:space="preserve">[Manikpur] -&gt; Ranihati</t>
  </si>
  <si>
    <t xml:space="preserve">Mashat Market</t>
  </si>
  <si>
    <t xml:space="preserve">Dostipur -&gt; [Mashat Market] -&gt; Shirakole</t>
  </si>
  <si>
    <t xml:space="preserve">Matharani More</t>
  </si>
  <si>
    <t xml:space="preserve">Neelgunge -&gt; [Matharani More] -&gt; Nilgunge</t>
  </si>
  <si>
    <t xml:space="preserve">Mathrangi More</t>
  </si>
  <si>
    <t xml:space="preserve">Nonachandanpukur -&gt; [Mathrangi More] -&gt; Jagannathpur</t>
  </si>
  <si>
    <t xml:space="preserve">Mayramahal</t>
  </si>
  <si>
    <t xml:space="preserve">Kashinagar -&gt; [Mayramahal] -&gt; Raidighi</t>
  </si>
  <si>
    <t xml:space="preserve">Menton</t>
  </si>
  <si>
    <t xml:space="preserve">Chowrasta -&gt; [Menton] -&gt; Behala Tram Depot</t>
  </si>
  <si>
    <t xml:space="preserve">Metekhali</t>
  </si>
  <si>
    <t xml:space="preserve">Kharampur -&gt; [Metekhali] -&gt; Nazat</t>
  </si>
  <si>
    <t xml:space="preserve">Metiabruz Rail line more</t>
  </si>
  <si>
    <t xml:space="preserve">Karbala -&gt; [Metiabruz Rail line more] -&gt; Nadial</t>
  </si>
  <si>
    <t xml:space="preserve">Nadial -&gt; [Metiabruz Super speciality hospital]</t>
  </si>
  <si>
    <t xml:space="preserve">Metiakhali Bazar</t>
  </si>
  <si>
    <t xml:space="preserve">Malancha -&gt; [Metiakhali Bazar] -&gt; Nazat</t>
  </si>
  <si>
    <t xml:space="preserve">Middle Rd</t>
  </si>
  <si>
    <t xml:space="preserve">Topsia Road Xing -&gt; [Middle Rd] -&gt; Moulali</t>
  </si>
  <si>
    <t xml:space="preserve">Midnapore Town</t>
  </si>
  <si>
    <t xml:space="preserve">Basantapur -&gt; [Midnapore Town] -&gt; Chandra</t>
  </si>
  <si>
    <t xml:space="preserve">Mirhati</t>
  </si>
  <si>
    <t xml:space="preserve">Santoshpur -&gt; [Mirhati] -&gt; Khilkapur</t>
  </si>
  <si>
    <t xml:space="preserve">Mistry Gate</t>
  </si>
  <si>
    <t xml:space="preserve">Khardaha -&gt; [Mistry Gate] -&gt; Barrackpore Court</t>
  </si>
  <si>
    <t xml:space="preserve">Mitekhali</t>
  </si>
  <si>
    <t xml:space="preserve">Pifa -&gt; [Mitekhali] -&gt; Nazat</t>
  </si>
  <si>
    <t xml:space="preserve">Mittirchak</t>
  </si>
  <si>
    <t xml:space="preserve">Julpia -&gt; [Mittirchak] -&gt; Kabardanga</t>
  </si>
  <si>
    <t xml:space="preserve">Mohani More</t>
  </si>
  <si>
    <t xml:space="preserve">Dhulasimla -&gt; [Mohani More] -&gt; 58 Gate</t>
  </si>
  <si>
    <t xml:space="preserve">Momonpore</t>
  </si>
  <si>
    <t xml:space="preserve">Taratala -&gt; [Momonpore] -&gt; Khidirpore</t>
  </si>
  <si>
    <t xml:space="preserve">Mondongathi</t>
  </si>
  <si>
    <t xml:space="preserve">Barasat Titumir Bus Stand -&gt; [Mondongathi] -&gt; Bamangachi</t>
  </si>
  <si>
    <t xml:space="preserve">Mondourie</t>
  </si>
  <si>
    <t xml:space="preserve">Jaguli More -&gt; [Mondourie] -&gt; Kampa More</t>
  </si>
  <si>
    <t xml:space="preserve">Moninpor</t>
  </si>
  <si>
    <t xml:space="preserve">Taratala -&gt; [Moninpor] -&gt; Kidderpore</t>
  </si>
  <si>
    <t xml:space="preserve">Morshal</t>
  </si>
  <si>
    <t xml:space="preserve">Garchumuk -&gt; [Morshal] -&gt; Shyampur</t>
  </si>
  <si>
    <t xml:space="preserve">Moulai</t>
  </si>
  <si>
    <t xml:space="preserve">Esplanade -&gt; [Moulai] -&gt; Sealdah</t>
  </si>
  <si>
    <t xml:space="preserve">Moyna</t>
  </si>
  <si>
    <t xml:space="preserve">[Moyna] -&gt; Kathgola</t>
  </si>
  <si>
    <t xml:space="preserve">Moynagarh</t>
  </si>
  <si>
    <t xml:space="preserve">[Moynagarh] -&gt; Shibrampur</t>
  </si>
  <si>
    <t xml:space="preserve">[Muchighata] -&gt; Jhikira</t>
  </si>
  <si>
    <t xml:space="preserve">Muchipara Xing</t>
  </si>
  <si>
    <t xml:space="preserve">Behala Chowrasta -&gt; [Muchipara Xing] -&gt; Karunamoyee</t>
  </si>
  <si>
    <t xml:space="preserve">Muduali</t>
  </si>
  <si>
    <t xml:space="preserve">Babubazar -&gt; [Muduali] -&gt; Garden Reach</t>
  </si>
  <si>
    <t xml:space="preserve">Municipality</t>
  </si>
  <si>
    <t xml:space="preserve">Vivekananda Bridge -&gt; [Municipality] -&gt; Belurmath</t>
  </si>
  <si>
    <t xml:space="preserve">Munshibazar</t>
  </si>
  <si>
    <t xml:space="preserve">Sales Tax -&gt; [Munshibazar] -&gt; Sealdah Court</t>
  </si>
  <si>
    <t xml:space="preserve">Murarisha Chowmatha</t>
  </si>
  <si>
    <t xml:space="preserve">Malancha -&gt; [Murarisha Chowmatha] -&gt; Taki</t>
  </si>
  <si>
    <t xml:space="preserve">Muthurapur</t>
  </si>
  <si>
    <t xml:space="preserve">Kayrapur -&gt; [Muthurapur] -&gt; Basudebpur</t>
  </si>
  <si>
    <t xml:space="preserve">NH6</t>
  </si>
  <si>
    <t xml:space="preserve">Kona Express -&gt; [NH6] -&gt; Salap</t>
  </si>
  <si>
    <t xml:space="preserve">Nababharati</t>
  </si>
  <si>
    <t xml:space="preserve">Noapara -&gt; [Nababharati] -&gt; Jagannathpur</t>
  </si>
  <si>
    <t xml:space="preserve">Nachinda</t>
  </si>
  <si>
    <t xml:space="preserve">Bajkul -&gt; [Nachinda] -&gt; Digha</t>
  </si>
  <si>
    <t xml:space="preserve">[Nainan] -&gt; Kalatalahat</t>
  </si>
  <si>
    <t xml:space="preserve">Najirpur</t>
  </si>
  <si>
    <t xml:space="preserve">Chapra -&gt; [Najirpur] -&gt; Karimpur</t>
  </si>
  <si>
    <t xml:space="preserve">Nakpul Bazar</t>
  </si>
  <si>
    <t xml:space="preserve">Payragachi -&gt; [Nakpul Bazar] -&gt; Machhlandapur</t>
  </si>
  <si>
    <t xml:space="preserve">Nandibari</t>
  </si>
  <si>
    <t xml:space="preserve">Duttapara -&gt; [Nandibari] -&gt; Bithari</t>
  </si>
  <si>
    <t xml:space="preserve">Narayanpur More</t>
  </si>
  <si>
    <t xml:space="preserve">Lalkuthi -&gt; [Narayanpur More]</t>
  </si>
  <si>
    <t xml:space="preserve">Tikiapara -&gt; [Narit]</t>
  </si>
  <si>
    <t xml:space="preserve">Natagachi</t>
  </si>
  <si>
    <t xml:space="preserve">Arapanch -&gt; [Natagachi] -&gt; Kalikapur</t>
  </si>
  <si>
    <t xml:space="preserve">Natagarh</t>
  </si>
  <si>
    <t xml:space="preserve">[Natagarh] -&gt; Sodepur Station</t>
  </si>
  <si>
    <t xml:space="preserve">[Neilgunj] -&gt; Nilgunge</t>
  </si>
  <si>
    <t xml:space="preserve">Nepalgunge</t>
  </si>
  <si>
    <t xml:space="preserve">Julpia -&gt; [Nepalgunge] -&gt; Kabardanga</t>
  </si>
  <si>
    <t xml:space="preserve">DLF1 -&gt; [New Bus stand]</t>
  </si>
  <si>
    <t xml:space="preserve">New Karola</t>
  </si>
  <si>
    <t xml:space="preserve">Dhulagarh -&gt; [New Karola] -&gt; Alampur</t>
  </si>
  <si>
    <t xml:space="preserve">Nibra More</t>
  </si>
  <si>
    <t xml:space="preserve">Ankurhati -&gt; [Nibra More] -&gt; Kona More</t>
  </si>
  <si>
    <t xml:space="preserve">Nilgunge Bazar</t>
  </si>
  <si>
    <t xml:space="preserve">Lalkuthi -&gt; [Nilgunge Bazar]</t>
  </si>
  <si>
    <t xml:space="preserve">Nilgunge Hat</t>
  </si>
  <si>
    <t xml:space="preserve">Nonachandanpukur -&gt; [Nilgunge Hat] -&gt; Jagannathpur</t>
  </si>
  <si>
    <t xml:space="preserve">Nima Terasta</t>
  </si>
  <si>
    <t xml:space="preserve">Dariapur -&gt; [Nima Terasta] -&gt; Hamidpur</t>
  </si>
  <si>
    <t xml:space="preserve">Nimchabari</t>
  </si>
  <si>
    <t xml:space="preserve">Chaital -&gt; [Nimchabari] -&gt; Bhebia</t>
  </si>
  <si>
    <t xml:space="preserve">Nimchi Bazar</t>
  </si>
  <si>
    <t xml:space="preserve">Basirhat -&gt; [Nimchi Bazar] -&gt; Malancha</t>
  </si>
  <si>
    <t xml:space="preserve">Nimtouri</t>
  </si>
  <si>
    <t xml:space="preserve">Mecheda -&gt; [Nimtouri] -&gt; Nandakumar</t>
  </si>
  <si>
    <t xml:space="preserve">Nirdeshkhali</t>
  </si>
  <si>
    <t xml:space="preserve">Kanthalberia -&gt; [Nirdeshkhali] -&gt; Baria</t>
  </si>
  <si>
    <t xml:space="preserve">Norghat</t>
  </si>
  <si>
    <t xml:space="preserve">Nandakumar -&gt; [Norghat] -&gt; Bajkul</t>
  </si>
  <si>
    <t xml:space="preserve">Norja More</t>
  </si>
  <si>
    <t xml:space="preserve">Shaktigarh -&gt; [Norja More] -&gt; Bahadurpur</t>
  </si>
  <si>
    <t xml:space="preserve">North Gate</t>
  </si>
  <si>
    <t xml:space="preserve">Khardaha -&gt; [North Gate] -&gt; Barrackpore Court</t>
  </si>
  <si>
    <t xml:space="preserve">Nunchapota</t>
  </si>
  <si>
    <t xml:space="preserve">Bagdah -&gt; [Nunchapota] -&gt; Helencha</t>
  </si>
  <si>
    <t xml:space="preserve">Nuntia</t>
  </si>
  <si>
    <t xml:space="preserve">Khalor -&gt; [Nuntia] -&gt; Bagnan</t>
  </si>
  <si>
    <t xml:space="preserve">[Old Dakghar] -&gt; Jhinjhira Bazar</t>
  </si>
  <si>
    <t xml:space="preserve">Om Dayal</t>
  </si>
  <si>
    <t xml:space="preserve">Bagnan -&gt; [Om Dayal] -&gt; Uluberia</t>
  </si>
  <si>
    <t xml:space="preserve">P A Sha Rd</t>
  </si>
  <si>
    <t xml:space="preserve">New Alipore -&gt; [P A Sha Rd] -&gt; Lake Gardens</t>
  </si>
  <si>
    <t xml:space="preserve">P.A Sha Connector</t>
  </si>
  <si>
    <t xml:space="preserve">Tollygunge Phari -&gt; [P.A Sha Connector] -&gt; Tollygunj Tram Depot</t>
  </si>
  <si>
    <t xml:space="preserve">P.T.S. Danersekh Lane</t>
  </si>
  <si>
    <t xml:space="preserve">Rabindra Sadan -&gt; [P.T.S. Danersekh Lane] -&gt; Bakultala</t>
  </si>
  <si>
    <t xml:space="preserve">Pabnapara</t>
  </si>
  <si>
    <t xml:space="preserve">Kahankia -&gt; [Pabnapara]</t>
  </si>
  <si>
    <t xml:space="preserve">Padmalavpur</t>
  </si>
  <si>
    <t xml:space="preserve">Rafipur -&gt; [Padmalavpur] -&gt; Hamidpur</t>
  </si>
  <si>
    <t xml:space="preserve">Shikharpur -&gt; [Pakapole]</t>
  </si>
  <si>
    <t xml:space="preserve">Jitpur -&gt; [Palashipara]</t>
  </si>
  <si>
    <t xml:space="preserve">[Palbazar (Jadavpur Station)] -&gt; Garfa Road</t>
  </si>
  <si>
    <t xml:space="preserve">Pallagram</t>
  </si>
  <si>
    <t xml:space="preserve">Gopalnagar -&gt; [Pallagram] -&gt; Nahata</t>
  </si>
  <si>
    <t xml:space="preserve">Palta Bazar</t>
  </si>
  <si>
    <t xml:space="preserve">Ichapur More -&gt; [Palta Bazar] -&gt; Barrackpore</t>
  </si>
  <si>
    <t xml:space="preserve">Panchanantala</t>
  </si>
  <si>
    <t xml:space="preserve">Behala Chowrasta -&gt; [Panchanantala] -&gt; Karunamoyee</t>
  </si>
  <si>
    <t xml:space="preserve">Panchkari More</t>
  </si>
  <si>
    <t xml:space="preserve">Christopher Road -&gt; [Panchkari More] -&gt; Tangra More</t>
  </si>
  <si>
    <t xml:space="preserve">Panchpara gram Panchayat</t>
  </si>
  <si>
    <t xml:space="preserve">Bakultala -&gt; [Panchpara gram Panchayat]</t>
  </si>
  <si>
    <t xml:space="preserve">Panikhali</t>
  </si>
  <si>
    <t xml:space="preserve">Kanthalberia -&gt; [Panikhali] -&gt; Baria</t>
  </si>
  <si>
    <t xml:space="preserve">Panshkura Bazar</t>
  </si>
  <si>
    <t xml:space="preserve">Mechogram -&gt; [Panshkura Bazar] -&gt; Ashari</t>
  </si>
  <si>
    <t xml:space="preserve">[Pardankuni] -&gt; Delhi Road</t>
  </si>
  <si>
    <t xml:space="preserve">Park Circus WBTC Depot</t>
  </si>
  <si>
    <t xml:space="preserve">Park Circus 4 number -&gt; [Park Circus WBTC Depot] -&gt; Beckbagan</t>
  </si>
  <si>
    <t xml:space="preserve">[Parthapur] -&gt; Sodepur Station</t>
  </si>
  <si>
    <t xml:space="preserve">Paschim Gazipur</t>
  </si>
  <si>
    <t xml:space="preserve">Ranihati -&gt; [Paschim Gazipur] -&gt; Tikiapara</t>
  </si>
  <si>
    <t xml:space="preserve">Patharberia More</t>
  </si>
  <si>
    <t xml:space="preserve">Bhagabatipur -&gt; [Patharberia More] -&gt; Sarasberia</t>
  </si>
  <si>
    <t xml:space="preserve">Pathshimuliya bazar</t>
  </si>
  <si>
    <t xml:space="preserve">Helencha -&gt; [Pathshimuliya bazar] -&gt; Bongaon</t>
  </si>
  <si>
    <t xml:space="preserve">Patkelpota</t>
  </si>
  <si>
    <t xml:space="preserve">Jhautala -&gt; [Patkelpota] -&gt; Situri</t>
  </si>
  <si>
    <t xml:space="preserve">Payragacha</t>
  </si>
  <si>
    <t xml:space="preserve">Shyamnagar -&gt; [Payragacha] -&gt; Mazompur</t>
  </si>
  <si>
    <t xml:space="preserve">Peerless Hosital</t>
  </si>
  <si>
    <t xml:space="preserve">Patuli -&gt; [Peerless Hosital] -&gt; Dhalai Bridge</t>
  </si>
  <si>
    <t xml:space="preserve">Phooltala</t>
  </si>
  <si>
    <t xml:space="preserve">Uttarbhag -&gt; [Phooltala] -&gt; Baruipur Hospital</t>
  </si>
  <si>
    <t xml:space="preserve">Phuleshwar</t>
  </si>
  <si>
    <t xml:space="preserve">Panchla -&gt; [Phuleshwar] -&gt; Dhulasimla</t>
  </si>
  <si>
    <t xml:space="preserve">Pilan</t>
  </si>
  <si>
    <t xml:space="preserve">3A Bus Stand -&gt; [Pilan] -&gt; Amtala</t>
  </si>
  <si>
    <t xml:space="preserve">Pirnagar</t>
  </si>
  <si>
    <t xml:space="preserve">Shyamnagar -&gt; [Pirnagar] -&gt; Mazompur</t>
  </si>
  <si>
    <t xml:space="preserve">Podra</t>
  </si>
  <si>
    <t xml:space="preserve">Bakultala -&gt; [Podra]</t>
  </si>
  <si>
    <t xml:space="preserve">Post Office</t>
  </si>
  <si>
    <t xml:space="preserve">Tangra -&gt; [Post Office] -&gt; Gobinda Khatik Road</t>
  </si>
  <si>
    <t xml:space="preserve">Power House</t>
  </si>
  <si>
    <t xml:space="preserve">Sonarpur -&gt; [Power House] -&gt; Mission Pally</t>
  </si>
  <si>
    <t xml:space="preserve">Prabartak Jute Mill</t>
  </si>
  <si>
    <t xml:space="preserve">Kamarhati -&gt; [Prabartak Jute Mill] -&gt; Rathtala</t>
  </si>
  <si>
    <t xml:space="preserve">Pramodnagar Mathkal</t>
  </si>
  <si>
    <t xml:space="preserve">Dunlop (Baranagar road Station) -&gt; [Pramodnagar Mathkal] -&gt; Durganagar</t>
  </si>
  <si>
    <t xml:space="preserve">Prasadpur</t>
  </si>
  <si>
    <t xml:space="preserve">Makrampur -&gt; [Prasadpur] -&gt; Sundia</t>
  </si>
  <si>
    <t xml:space="preserve">Prince Anwar Sha connector</t>
  </si>
  <si>
    <t xml:space="preserve">Lords More -&gt; [Prince Anwar Sha connector] -&gt; Bangur hospital</t>
  </si>
  <si>
    <t xml:space="preserve">Pujali CESC Plant</t>
  </si>
  <si>
    <t xml:space="preserve">Charial -&gt; [Pujali CESC Plant] -&gt; Achipur</t>
  </si>
  <si>
    <t xml:space="preserve">Pukuria Hat</t>
  </si>
  <si>
    <t xml:space="preserve">Mandirbazar -&gt; [Pukuria Hat] -&gt; Mathurapur Station</t>
  </si>
  <si>
    <t xml:space="preserve">Pumlia Bazar</t>
  </si>
  <si>
    <t xml:space="preserve">Daulatpur -&gt; [Pumlia Bazar] -&gt; Rajberia</t>
  </si>
  <si>
    <t xml:space="preserve">Purandarur</t>
  </si>
  <si>
    <t xml:space="preserve">Kahankia -&gt; [Purandarur]</t>
  </si>
  <si>
    <t xml:space="preserve">Puratan Bongaon</t>
  </si>
  <si>
    <t xml:space="preserve">Bongaon -&gt; [Puratan Bongaon] -&gt; Angrail</t>
  </si>
  <si>
    <t xml:space="preserve">Purbachal 13no. Tank</t>
  </si>
  <si>
    <t xml:space="preserve">Laboni -&gt; [Purbachal 13no. Tank] -&gt; Stadium Island</t>
  </si>
  <si>
    <t xml:space="preserve">Purbanchal</t>
  </si>
  <si>
    <t xml:space="preserve">Tangra -&gt; [Purbanchal] -&gt; Post Office</t>
  </si>
  <si>
    <t xml:space="preserve">Purpat</t>
  </si>
  <si>
    <t xml:space="preserve">Nischintapur -&gt; [Purpat] -&gt; Lebutala</t>
  </si>
  <si>
    <t xml:space="preserve">[Rabindra Nagar] -&gt; Parnasree</t>
  </si>
  <si>
    <t xml:space="preserve">Rabinrasadan</t>
  </si>
  <si>
    <t xml:space="preserve">Esplanade -&gt; [Rabinrasadan] -&gt; PTS</t>
  </si>
  <si>
    <t xml:space="preserve">[Rabinrasadan (Exide)] -&gt; PG Hospital</t>
  </si>
  <si>
    <t xml:space="preserve">Rajarhat Bishnupur</t>
  </si>
  <si>
    <t xml:space="preserve">Lauhati -&gt; [Rajarhat Bishnupur] -&gt; Kalaberia</t>
  </si>
  <si>
    <t xml:space="preserve">Rajarhat bazar</t>
  </si>
  <si>
    <t xml:space="preserve">Rajarhat Chowmatha -&gt; [Rajarhat bazar] -&gt; Reckjuani</t>
  </si>
  <si>
    <t xml:space="preserve">Rajbari</t>
  </si>
  <si>
    <t xml:space="preserve">Mathbari -&gt; [Rajbari] -&gt; Agarhati</t>
  </si>
  <si>
    <t xml:space="preserve">Rambati</t>
  </si>
  <si>
    <t xml:space="preserve">Hamidpur -&gt; [Rambati] -&gt; Kankinara</t>
  </si>
  <si>
    <t xml:space="preserve">Ramchandrapur Bazar</t>
  </si>
  <si>
    <t xml:space="preserve">Chandipur -&gt; [Ramchandrapur Bazar] -&gt; Tentulia</t>
  </si>
  <si>
    <t xml:space="preserve">Ramganga BDO Office</t>
  </si>
  <si>
    <t xml:space="preserve">Gurudaspur Hospital More -&gt; [Ramganga BDO Office]</t>
  </si>
  <si>
    <t xml:space="preserve">Ramkrishna Talkies</t>
  </si>
  <si>
    <t xml:space="preserve">Kathgola -&gt; [Ramkrishna Talkies] -&gt; Naihati Station</t>
  </si>
  <si>
    <t xml:space="preserve">Tarapith -&gt; [Rampurhat]</t>
  </si>
  <si>
    <t xml:space="preserve">Ranabelia ghat</t>
  </si>
  <si>
    <t xml:space="preserve">Amtala -&gt; [Ranabelia ghat] -&gt; Nabanna</t>
  </si>
  <si>
    <t xml:space="preserve">Ranindra Sarani</t>
  </si>
  <si>
    <t xml:space="preserve">Vivekananda Road -&gt; [Ranindra Sarani] -&gt; Howrah Bridge</t>
  </si>
  <si>
    <t xml:space="preserve">Rashbehari Avn</t>
  </si>
  <si>
    <t xml:space="preserve">Tollygunge Metro Stn -&gt; [Rashbehari Avn] -&gt; Park Street</t>
  </si>
  <si>
    <t xml:space="preserve">Ratneshwarpur</t>
  </si>
  <si>
    <t xml:space="preserve">Mandirbazar -&gt; [Ratneshwarpur] -&gt; Mathurapur Station</t>
  </si>
  <si>
    <t xml:space="preserve">Rowland Road Xing</t>
  </si>
  <si>
    <t xml:space="preserve">Chakraberia Road Xing -&gt; [Rowland Road Xing] -&gt; Minto Park</t>
  </si>
  <si>
    <t xml:space="preserve">Roy Bahadur Road</t>
  </si>
  <si>
    <t xml:space="preserve">Behala -&gt; [Roy Bahadur Road] -&gt; New Alipore Petrol pump</t>
  </si>
  <si>
    <t xml:space="preserve">Rubber Factory</t>
  </si>
  <si>
    <t xml:space="preserve">Kamarhati -&gt; [Rubber Factory] -&gt; Rathtala</t>
  </si>
  <si>
    <t xml:space="preserve">[Ruiya Purbapara] -&gt; Kalyan Nagar</t>
  </si>
  <si>
    <t xml:space="preserve">Rupmari Bazar</t>
  </si>
  <si>
    <t xml:space="preserve">Hasnabad Station -&gt; [Rupmari Bazar]</t>
  </si>
  <si>
    <t xml:space="preserve">S.C.Mallick Square</t>
  </si>
  <si>
    <t xml:space="preserve">Esplanade -&gt; [S.C.Mallick Square] -&gt; Moulali</t>
  </si>
  <si>
    <t xml:space="preserve">S.CITY</t>
  </si>
  <si>
    <t xml:space="preserve">Ruby -&gt; [S.CITY] -&gt; Chingrighata</t>
  </si>
  <si>
    <t xml:space="preserve">S.K.Mallick Rd</t>
  </si>
  <si>
    <t xml:space="preserve">Esplanade -&gt; [S.K.Mallick Rd] -&gt; Moulali</t>
  </si>
  <si>
    <t xml:space="preserve">S.N.Banarjee Rd</t>
  </si>
  <si>
    <t xml:space="preserve">Moulali -&gt; [S.N.Banarjee Rd] -&gt; Esplanade</t>
  </si>
  <si>
    <t xml:space="preserve">Sahebbagan Gate</t>
  </si>
  <si>
    <t xml:space="preserve">Neelgunge -&gt; [Sahebbagan Gate] -&gt; Nilgunge</t>
  </si>
  <si>
    <t xml:space="preserve">Saihati</t>
  </si>
  <si>
    <t xml:space="preserve">Nimtala -&gt; [Saihati] -&gt; Ghatakpukur</t>
  </si>
  <si>
    <t xml:space="preserve">Sajnaberia</t>
  </si>
  <si>
    <t xml:space="preserve">Julpia -&gt; [Sajnaberia] -&gt; Kabardanga</t>
  </si>
  <si>
    <t xml:space="preserve">Saltlake 7no. Tank</t>
  </si>
  <si>
    <t xml:space="preserve">Karunamoyee -&gt; [Saltlake 7no. Tank] -&gt; Baisakhi More</t>
  </si>
  <si>
    <t xml:space="preserve">Saltlake 9no. Tank</t>
  </si>
  <si>
    <t xml:space="preserve">Karunamoyee -&gt; [Saltlake 9no. Tank] -&gt; Baisakhi More</t>
  </si>
  <si>
    <t xml:space="preserve">Dulduli -&gt; [Samshernagar]</t>
  </si>
  <si>
    <t xml:space="preserve">Podra -&gt; [Sankrail Bharat Co-Op]</t>
  </si>
  <si>
    <t xml:space="preserve">Sanpukur Bazar</t>
  </si>
  <si>
    <t xml:space="preserve">Chongda More -&gt; [Sanpukur Bazar] -&gt; Jamdani</t>
  </si>
  <si>
    <t xml:space="preserve">Sarada Park</t>
  </si>
  <si>
    <t xml:space="preserve">[Sarada Park] -&gt; Shibrampur</t>
  </si>
  <si>
    <t xml:space="preserve">Sarasberia</t>
  </si>
  <si>
    <t xml:space="preserve">Bhagabatipur -&gt; [Sarasberia] -&gt; Milan More</t>
  </si>
  <si>
    <t xml:space="preserve">Saraswati Press</t>
  </si>
  <si>
    <t xml:space="preserve">Rathtala -&gt; [Saraswati Press] -&gt; Dunlop</t>
  </si>
  <si>
    <t xml:space="preserve">Sasati</t>
  </si>
  <si>
    <t xml:space="preserve">Mugkalyan -&gt; [Sasati] -&gt; Antila</t>
  </si>
  <si>
    <t xml:space="preserve">Satabharat</t>
  </si>
  <si>
    <t xml:space="preserve">Noapara -&gt; [Satabharat] -&gt; Jagannathpur</t>
  </si>
  <si>
    <t xml:space="preserve">Satulia Bridge</t>
  </si>
  <si>
    <t xml:space="preserve">Hatishala -&gt; [Satulia Bridge] -&gt; Saduli</t>
  </si>
  <si>
    <t xml:space="preserve">Satya Narayan Park</t>
  </si>
  <si>
    <t xml:space="preserve">MG Road -&gt; [Satya Narayan Park] -&gt; Howrah Bridge East</t>
  </si>
  <si>
    <t xml:space="preserve">[Satyabala] -&gt; Golabarai PS</t>
  </si>
  <si>
    <t xml:space="preserve">Sc. City - Chingrihata</t>
  </si>
  <si>
    <t xml:space="preserve">Topsia Road Xing -&gt; [Sc. City - Chingrihata] -&gt; Nicco Park</t>
  </si>
  <si>
    <t xml:space="preserve">Science City Milan Mela Ground Stoppage</t>
  </si>
  <si>
    <t xml:space="preserve">Topsia -&gt; [Science City Milan Mela Ground Stoppage] -&gt; Mathpukur</t>
  </si>
  <si>
    <t xml:space="preserve">Sealdah Station Moulali More</t>
  </si>
  <si>
    <t xml:space="preserve">Rajabazar -&gt; [Sealdah Station Moulali More] -&gt; Wellington</t>
  </si>
  <si>
    <t xml:space="preserve">Sec5</t>
  </si>
  <si>
    <t xml:space="preserve">New Town -&gt; [Sec5] -&gt; Chingrighata</t>
  </si>
  <si>
    <t xml:space="preserve">Sendanga</t>
  </si>
  <si>
    <t xml:space="preserve">Daulatpur -&gt; [Sendanga] -&gt; Rajberia</t>
  </si>
  <si>
    <t xml:space="preserve">Sevayatan</t>
  </si>
  <si>
    <t xml:space="preserve">Chandra -&gt; [Sevayatan] -&gt; Jhargram</t>
  </si>
  <si>
    <t xml:space="preserve">Shahidullah College</t>
  </si>
  <si>
    <t xml:space="preserve">Berachampa -&gt; [Shahidullah College] -&gt; Berachampa Crossing</t>
  </si>
  <si>
    <t xml:space="preserve">Shantipur Bypass</t>
  </si>
  <si>
    <t xml:space="preserve">Ranaghat -&gt; [Shantipur Bypass] -&gt; Krishnanagar</t>
  </si>
  <si>
    <t xml:space="preserve">Shaoraberia</t>
  </si>
  <si>
    <t xml:space="preserve">Nischintapur -&gt; [Shaoraberia] -&gt; Lebutala</t>
  </si>
  <si>
    <t xml:space="preserve">[Shapooji Housing (Sukho Brishti)] -&gt; Unitech Gate 1</t>
  </si>
  <si>
    <t xml:space="preserve">Shasan Bazar</t>
  </si>
  <si>
    <t xml:space="preserve">Paltadanga -&gt; [Shasan Bazar] -&gt; Mithpukuria</t>
  </si>
  <si>
    <t xml:space="preserve">Shiakhala</t>
  </si>
  <si>
    <t xml:space="preserve">Champadanga -&gt; [Shiakhala] -&gt; Chanditala</t>
  </si>
  <si>
    <t xml:space="preserve">Shibalaya</t>
  </si>
  <si>
    <t xml:space="preserve">Dakshineswar -&gt; [Shibalaya] -&gt; Santoshpur</t>
  </si>
  <si>
    <t xml:space="preserve">Shiberhana</t>
  </si>
  <si>
    <t xml:space="preserve">[Shiberhana] -&gt; Karatberia</t>
  </si>
  <si>
    <t xml:space="preserve">Shibganj Bazar</t>
  </si>
  <si>
    <t xml:space="preserve">Sonakhali Bus Stand -&gt; [Shibganj Bazar] -&gt; Hiranmoypur</t>
  </si>
  <si>
    <t xml:space="preserve">[Shibpur TD] -&gt; Howrah Maidan</t>
  </si>
  <si>
    <t xml:space="preserve">Shibtala</t>
  </si>
  <si>
    <t xml:space="preserve">Sehagori -&gt; [Shibtala] -&gt; Amta New Market</t>
  </si>
  <si>
    <t xml:space="preserve">Shimulpur Senbari</t>
  </si>
  <si>
    <t xml:space="preserve">Matikumra -&gt; [Shimulpur Senbari] -&gt; Rudrapur</t>
  </si>
  <si>
    <t xml:space="preserve">Shishumangal Hospital</t>
  </si>
  <si>
    <t xml:space="preserve">Manoharpukur -&gt; [Shishumangal Hospital] -&gt; Lansdowne Crossing</t>
  </si>
  <si>
    <t xml:space="preserve">Shrikole More</t>
  </si>
  <si>
    <t xml:space="preserve">Belpukur -&gt; [Shrikole More] -&gt; Radhapur</t>
  </si>
  <si>
    <t xml:space="preserve">Shrikrishnapur</t>
  </si>
  <si>
    <t xml:space="preserve">Daulatpur -&gt; [Shrikrishnapur] -&gt; Rajberia</t>
  </si>
  <si>
    <t xml:space="preserve">Shripur Mallikpur</t>
  </si>
  <si>
    <t xml:space="preserve">Matikumra -&gt; [Shripur Mallikpur] -&gt; Rudrapur</t>
  </si>
  <si>
    <t xml:space="preserve">Shyamasree</t>
  </si>
  <si>
    <t xml:space="preserve">Dalalpukur -&gt; [Shyamasree] -&gt; Kadamtala</t>
  </si>
  <si>
    <t xml:space="preserve">Sibanagar</t>
  </si>
  <si>
    <t xml:space="preserve">Namkhana Station -&gt; [Sibanagar] -&gt; Frasergunje</t>
  </si>
  <si>
    <t xml:space="preserve">Siddhiberia</t>
  </si>
  <si>
    <t xml:space="preserve">Bhagabatipur -&gt; [Siddhiberia] -&gt; Sarasberia</t>
  </si>
  <si>
    <t xml:space="preserve">Sinthir More</t>
  </si>
  <si>
    <t xml:space="preserve">Rabindra Bharati University -&gt; [Sinthir More] -&gt; Tobin Road</t>
  </si>
  <si>
    <t xml:space="preserve">Hasnabad Station -&gt; [Sitalia]</t>
  </si>
  <si>
    <t xml:space="preserve">Situri</t>
  </si>
  <si>
    <t xml:space="preserve">Jhautala -&gt; [Situri] -&gt; Kalitala</t>
  </si>
  <si>
    <t xml:space="preserve">Sobedatala</t>
  </si>
  <si>
    <t xml:space="preserve">Jhautala -&gt; [Sobedatala] -&gt; Situri</t>
  </si>
  <si>
    <t xml:space="preserve">[Sonamukhi Bazar] -&gt; Sarsuna</t>
  </si>
  <si>
    <t xml:space="preserve">Sondalia Bablatala</t>
  </si>
  <si>
    <t xml:space="preserve">Jhautala -&gt; [Sondalia Bablatala] -&gt; Situri</t>
  </si>
  <si>
    <t xml:space="preserve">Sonpukur</t>
  </si>
  <si>
    <t xml:space="preserve">Chongda More -&gt; [Sonpukur] -&gt; Kalupur</t>
  </si>
  <si>
    <t xml:space="preserve">South Calcutta Girls' College</t>
  </si>
  <si>
    <t xml:space="preserve">Lansdowne Crossing -&gt; [South Calcutta Girls' College] -&gt; Padmapukur</t>
  </si>
  <si>
    <t xml:space="preserve">Sova Bajar Metro</t>
  </si>
  <si>
    <t xml:space="preserve">Girish Park -&gt; [Sova Bajar Metro] -&gt; Shyambazar</t>
  </si>
  <si>
    <t xml:space="preserve">Sreepally</t>
  </si>
  <si>
    <t xml:space="preserve">Bongaon -&gt; [Sreepally] -&gt; Mamudpur</t>
  </si>
  <si>
    <t xml:space="preserve">Stand Road</t>
  </si>
  <si>
    <t xml:space="preserve">GPO -&gt; [Stand Road] -&gt; Howrah Railway Station</t>
  </si>
  <si>
    <t xml:space="preserve">Subidpur</t>
  </si>
  <si>
    <t xml:space="preserve">Kahankia -&gt; [Subidpur]</t>
  </si>
  <si>
    <t xml:space="preserve">Sunderban Chowmatha</t>
  </si>
  <si>
    <t xml:space="preserve">Sonakhali Bus Stand -&gt; [Sunderban Chowmatha] -&gt; Hiranmoypur</t>
  </si>
  <si>
    <t xml:space="preserve">Sundia</t>
  </si>
  <si>
    <t xml:space="preserve">Prasadpur -&gt; [Sundia] -&gt; Jhautala</t>
  </si>
  <si>
    <t xml:space="preserve">Surkikal</t>
  </si>
  <si>
    <t xml:space="preserve">Dalalpukur -&gt; [Surkikal] -&gt; Kadamtala</t>
  </si>
  <si>
    <t xml:space="preserve">Suryapur</t>
  </si>
  <si>
    <t xml:space="preserve">Amtala -&gt; [Suryapur] -&gt; Nabanna</t>
  </si>
  <si>
    <t xml:space="preserve">Suryasen Street</t>
  </si>
  <si>
    <t xml:space="preserve">College Street -&gt; [Suryasen Street] -&gt; Rajabazar Tram Depot</t>
  </si>
  <si>
    <t xml:space="preserve">T.T.XING</t>
  </si>
  <si>
    <t xml:space="preserve">T.DEPOT -&gt; [T.T.XING] -&gt; New Alipore</t>
  </si>
  <si>
    <t xml:space="preserve">Tahelarampur bazar</t>
  </si>
  <si>
    <t xml:space="preserve">Amtala -&gt; [Tahelarampur bazar] -&gt; Nabanna</t>
  </si>
  <si>
    <t xml:space="preserve">Taki Chowrangee</t>
  </si>
  <si>
    <t xml:space="preserve">Basirhat -&gt; [Taki Chowrangee] -&gt; Hasnabad</t>
  </si>
  <si>
    <t xml:space="preserve">Talikhola</t>
  </si>
  <si>
    <t xml:space="preserve">Noapara -&gt; [Talikhola] -&gt; Jagannathpur</t>
  </si>
  <si>
    <t xml:space="preserve">Tantirhat</t>
  </si>
  <si>
    <t xml:space="preserve">Kulpi -&gt; [Tantirhat] -&gt; Bhagabatipur</t>
  </si>
  <si>
    <t xml:space="preserve">Gobindapur -&gt; [Taranipur]</t>
  </si>
  <si>
    <t xml:space="preserve">Telecom</t>
  </si>
  <si>
    <t xml:space="preserve">Carry Road -&gt; [Telecom] -&gt; B.B.D. Bagh</t>
  </si>
  <si>
    <t xml:space="preserve">Tematha</t>
  </si>
  <si>
    <t xml:space="preserve">Kalikapur -&gt; [Tematha] -&gt; Makrampur</t>
  </si>
  <si>
    <t xml:space="preserve">Thakuranichak Kalitala</t>
  </si>
  <si>
    <t xml:space="preserve">Salap -&gt; [Thakuranichak Kalitala] -&gt; Rajchandrapur</t>
  </si>
  <si>
    <t xml:space="preserve">Thakurpukur Bazar Thakurpukur 3A</t>
  </si>
  <si>
    <t xml:space="preserve">Shilpara -&gt; [Thakurpukur Bazar Thakurpukur 3A]</t>
  </si>
  <si>
    <t xml:space="preserve">Thaliya</t>
  </si>
  <si>
    <t xml:space="preserve">Ranihati -&gt; [Thaliya] -&gt; Nischintapur</t>
  </si>
  <si>
    <t xml:space="preserve">Thanapara</t>
  </si>
  <si>
    <t xml:space="preserve">Chapra -&gt; [Thanapara] -&gt; Karimpur</t>
  </si>
  <si>
    <t xml:space="preserve">Titagarh Bajar</t>
  </si>
  <si>
    <t xml:space="preserve">Khardaha -&gt; [Titagarh Bajar] -&gt; Barrackpore Court</t>
  </si>
  <si>
    <t xml:space="preserve">Tollygunge Metro Stn</t>
  </si>
  <si>
    <t xml:space="preserve">Karunamoyee -&gt; [Tollygunge Metro Stn] -&gt; Park Street</t>
  </si>
  <si>
    <t xml:space="preserve">Trimohani</t>
  </si>
  <si>
    <t xml:space="preserve">Kholapota -&gt; [Trimohani] -&gt; Bhyabla Halt</t>
  </si>
  <si>
    <t xml:space="preserve">Udang Bazar</t>
  </si>
  <si>
    <t xml:space="preserve">Khasnan -&gt; [Udang Bazar] -&gt; Khadinan</t>
  </si>
  <si>
    <t xml:space="preserve">Uluberia Checkpost</t>
  </si>
  <si>
    <t xml:space="preserve">Panchla -&gt; [Uluberia Checkpost] -&gt; Dhulasimla</t>
  </si>
  <si>
    <t xml:space="preserve">Vaishali</t>
  </si>
  <si>
    <t xml:space="preserve">Palmer Bazar -&gt; [Vaishali] -&gt; Tangra</t>
  </si>
  <si>
    <t xml:space="preserve">Lalkuthi -&gt; [W. B. State University (Barasat)]</t>
  </si>
  <si>
    <t xml:space="preserve">Water Gate</t>
  </si>
  <si>
    <t xml:space="preserve">Khiddirpor -&gt; [Water Gate] -&gt; Espl</t>
  </si>
  <si>
    <t xml:space="preserve">Welington Sq</t>
  </si>
  <si>
    <t xml:space="preserve">Esplanade -&gt; [Welington Sq] -&gt; Moulali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</si>
</sst>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95A45"/>
        <bgColor rgb="FF55555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95A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95A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f aca="false">COUNTA('Routes - timetable'!A2:A651)</f>
        <v>650</v>
      </c>
      <c r="C5" s="7" t="s">
        <v>4</v>
      </c>
    </row>
    <row r="6" customFormat="false" ht="15" hidden="false" customHeight="false" outlineLevel="0" collapsed="false">
      <c r="A6" s="5" t="s">
        <v>5</v>
      </c>
      <c r="B6" s="6" t="n">
        <f aca="false">COUNTIF('Routes - timetable'!G2:G651,"Full times*")</f>
        <v>76</v>
      </c>
      <c r="C6" s="7" t="s">
        <v>6</v>
      </c>
    </row>
    <row r="7" customFormat="false" ht="15" hidden="false" customHeight="false" outlineLevel="0" collapsed="false">
      <c r="A7" s="5" t="s">
        <v>7</v>
      </c>
      <c r="B7" s="6" t="n">
        <f aca="false">COUNTIF('Routes - timetable'!G2:G651,"Partial times*")</f>
        <v>0</v>
      </c>
      <c r="C7" s="7" t="s">
        <v>8</v>
      </c>
    </row>
    <row r="8" customFormat="false" ht="15" hidden="false" customHeight="false" outlineLevel="0" collapsed="false">
      <c r="A8" s="5" t="s">
        <v>9</v>
      </c>
      <c r="B8" s="6" t="n">
        <f aca="false">COUNTIF('Routes - timetable'!G2:G651,"Sample only*")</f>
        <v>8</v>
      </c>
      <c r="C8" s="7" t="s">
        <v>10</v>
      </c>
    </row>
    <row r="9" customFormat="false" ht="15" hidden="false" customHeight="false" outlineLevel="0" collapsed="false">
      <c r="A9" s="5" t="s">
        <v>11</v>
      </c>
      <c r="B9" s="6" t="n">
        <f aca="false">COUNTIF('Routes - timetable'!G2:G651,"No timetable")</f>
        <v>566</v>
      </c>
      <c r="C9" s="7" t="s">
        <v>12</v>
      </c>
    </row>
    <row r="10" customFormat="false" ht="15" hidden="false" customHeight="false" outlineLevel="0" collapsed="false">
      <c r="A10" s="5" t="s">
        <v>13</v>
      </c>
      <c r="B10" s="6" t="n">
        <f aca="false">B7+B8+B9</f>
        <v>574</v>
      </c>
      <c r="C10" s="7" t="s">
        <v>14</v>
      </c>
    </row>
    <row r="11" customFormat="false" ht="15" hidden="false" customHeight="false" outlineLevel="0" collapsed="false">
      <c r="A11" s="5" t="s">
        <v>15</v>
      </c>
      <c r="B11" s="6" t="n">
        <f aca="false">COUNTIF('Routes - timetable'!G2:G651,"*one direction only")</f>
        <v>0</v>
      </c>
      <c r="C11" s="7" t="s">
        <v>16</v>
      </c>
    </row>
    <row r="13" customFormat="false" ht="15" hidden="false" customHeight="false" outlineLevel="0" collapsed="false">
      <c r="A13" s="3" t="s">
        <v>17</v>
      </c>
      <c r="B13" s="4"/>
      <c r="C13" s="4"/>
    </row>
    <row r="14" customFormat="false" ht="15" hidden="false" customHeight="false" outlineLevel="0" collapsed="false">
      <c r="A14" s="5" t="s">
        <v>18</v>
      </c>
      <c r="B14" s="6" t="n">
        <f aca="false">COUNTIF('Stops - missing GPS'!C2:C1072,"No GPS")</f>
        <v>973</v>
      </c>
      <c r="C14" s="7" t="s">
        <v>19</v>
      </c>
    </row>
    <row r="15" customFormat="false" ht="15" hidden="false" customHeight="false" outlineLevel="0" collapsed="false">
      <c r="A15" s="5" t="s">
        <v>20</v>
      </c>
      <c r="B15" s="6" t="n">
        <f aca="false">COUNTIF('Stops - missing GPS'!C2:C1072,"Has a GPS point*")</f>
        <v>98</v>
      </c>
      <c r="C15" s="7" t="s">
        <v>21</v>
      </c>
    </row>
    <row r="16" customFormat="false" ht="15" hidden="false" customHeight="false" outlineLevel="0" collapsed="false">
      <c r="A16" s="5" t="s">
        <v>22</v>
      </c>
      <c r="B16" s="6" t="n">
        <f aca="false">B14+B15</f>
        <v>1071</v>
      </c>
      <c r="C16" s="7" t="s">
        <v>23</v>
      </c>
    </row>
    <row r="17" customFormat="false" ht="15" hidden="false" customHeight="false" outlineLevel="0" collapsed="false">
      <c r="A17" s="5" t="s">
        <v>24</v>
      </c>
      <c r="B17" s="8" t="n">
        <v>2194</v>
      </c>
      <c r="C17" s="7" t="s">
        <v>25</v>
      </c>
    </row>
    <row r="18" customFormat="false" ht="15" hidden="false" customHeight="false" outlineLevel="0" collapsed="false">
      <c r="A18" s="5" t="s">
        <v>26</v>
      </c>
      <c r="B18" s="9" t="n">
        <f aca="false">B14/B17</f>
        <v>0.443482224247949</v>
      </c>
      <c r="C18" s="7" t="s">
        <v>27</v>
      </c>
    </row>
    <row r="20" customFormat="false" ht="15" hidden="false" customHeight="false" outlineLevel="0" collapsed="false">
      <c r="A20" s="3" t="s">
        <v>28</v>
      </c>
      <c r="B20" s="4"/>
      <c r="C20" s="4"/>
    </row>
    <row r="21" customFormat="false" ht="15" hidden="false" customHeight="false" outlineLevel="0" collapsed="false">
      <c r="A21" s="5" t="s">
        <v>29</v>
      </c>
      <c r="B21" s="6" t="n">
        <f aca="false">COUNTIF('Routes - timetable'!L2:L651,0)</f>
        <v>167</v>
      </c>
      <c r="C21" s="7" t="s">
        <v>30</v>
      </c>
    </row>
    <row r="22" customFormat="false" ht="15" hidden="false" customHeight="false" outlineLevel="0" collapsed="false">
      <c r="A22" s="5" t="s">
        <v>31</v>
      </c>
      <c r="B22" s="6" t="n">
        <f aca="false">COUNTIF('Routes - timetable'!L2:L651,"&gt;0")</f>
        <v>483</v>
      </c>
      <c r="C22" s="7"/>
    </row>
    <row r="23" customFormat="false" ht="15" hidden="false" customHeight="false" outlineLevel="0" collapsed="false">
      <c r="A23" s="5" t="s">
        <v>32</v>
      </c>
      <c r="B23" s="6" t="n">
        <f aca="false">COUNTIFS('Routes - timetable'!G2:G651,"Full times*",'Routes - timetable'!L2:L651,0)</f>
        <v>71</v>
      </c>
      <c r="C2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5" min="4" style="0" width="24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13" min="8" style="0" width="10"/>
  </cols>
  <sheetData>
    <row r="1" customFormat="false" ht="30" hidden="false" customHeight="true" outlineLevel="0" collapsed="false">
      <c r="A1" s="10" t="s">
        <v>33</v>
      </c>
      <c r="B1" s="10" t="s">
        <v>34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0" t="s">
        <v>44</v>
      </c>
      <c r="M1" s="10" t="s">
        <v>45</v>
      </c>
    </row>
    <row r="2" customFormat="false" ht="15" hidden="false" customHeight="false" outlineLevel="0" collapsed="false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n">
        <v>7</v>
      </c>
      <c r="I2" s="5" t="n">
        <v>7</v>
      </c>
      <c r="J2" s="5" t="n">
        <v>7</v>
      </c>
      <c r="K2" s="5" t="n">
        <v>6</v>
      </c>
      <c r="L2" s="5" t="n">
        <f aca="false">J2-K2</f>
        <v>1</v>
      </c>
      <c r="M2" s="11" t="n">
        <f aca="false">IF(J2=0,0,K2/J2)</f>
        <v>0.857142857142857</v>
      </c>
    </row>
    <row r="3" customFormat="false" ht="15" hidden="false" customHeight="false" outlineLevel="0" collapsed="false">
      <c r="A3" s="5" t="s">
        <v>53</v>
      </c>
      <c r="B3" s="5" t="s">
        <v>54</v>
      </c>
      <c r="C3" s="5" t="s">
        <v>48</v>
      </c>
      <c r="D3" s="5" t="s">
        <v>55</v>
      </c>
      <c r="E3" s="5" t="s">
        <v>56</v>
      </c>
      <c r="F3" s="5" t="s">
        <v>57</v>
      </c>
      <c r="G3" s="5" t="s">
        <v>58</v>
      </c>
      <c r="H3" s="5" t="n">
        <v>0</v>
      </c>
      <c r="I3" s="5" t="n">
        <v>0</v>
      </c>
      <c r="J3" s="5" t="n">
        <v>8</v>
      </c>
      <c r="K3" s="5" t="n">
        <v>6</v>
      </c>
      <c r="L3" s="5" t="n">
        <f aca="false">J3-K3</f>
        <v>2</v>
      </c>
      <c r="M3" s="11" t="n">
        <f aca="false">IF(J3=0,0,K3/J3)</f>
        <v>0.75</v>
      </c>
    </row>
    <row r="4" customFormat="false" ht="15" hidden="false" customHeight="false" outlineLevel="0" collapsed="false">
      <c r="A4" s="5" t="s">
        <v>59</v>
      </c>
      <c r="B4" s="5" t="s">
        <v>60</v>
      </c>
      <c r="C4" s="5" t="s">
        <v>48</v>
      </c>
      <c r="D4" s="5" t="s">
        <v>61</v>
      </c>
      <c r="E4" s="5" t="s">
        <v>62</v>
      </c>
      <c r="F4" s="5" t="s">
        <v>57</v>
      </c>
      <c r="G4" s="5" t="s">
        <v>58</v>
      </c>
      <c r="H4" s="5" t="n">
        <v>0</v>
      </c>
      <c r="I4" s="5" t="n">
        <v>0</v>
      </c>
      <c r="J4" s="5" t="n">
        <v>13</v>
      </c>
      <c r="K4" s="5" t="n">
        <v>12</v>
      </c>
      <c r="L4" s="5" t="n">
        <f aca="false">J4-K4</f>
        <v>1</v>
      </c>
      <c r="M4" s="11" t="n">
        <f aca="false">IF(J4=0,0,K4/J4)</f>
        <v>0.923076923076923</v>
      </c>
    </row>
    <row r="5" customFormat="false" ht="15" hidden="false" customHeight="false" outlineLevel="0" collapsed="false">
      <c r="A5" s="5" t="s">
        <v>63</v>
      </c>
      <c r="B5" s="5" t="s">
        <v>60</v>
      </c>
      <c r="C5" s="5" t="s">
        <v>48</v>
      </c>
      <c r="D5" s="5" t="s">
        <v>61</v>
      </c>
      <c r="E5" s="5" t="s">
        <v>64</v>
      </c>
      <c r="F5" s="5" t="s">
        <v>57</v>
      </c>
      <c r="G5" s="5" t="s">
        <v>58</v>
      </c>
      <c r="H5" s="5" t="n">
        <v>0</v>
      </c>
      <c r="I5" s="5" t="n">
        <v>0</v>
      </c>
      <c r="J5" s="5" t="n">
        <v>9</v>
      </c>
      <c r="K5" s="5" t="n">
        <v>7</v>
      </c>
      <c r="L5" s="5" t="n">
        <f aca="false">J5-K5</f>
        <v>2</v>
      </c>
      <c r="M5" s="11" t="n">
        <f aca="false">IF(J5=0,0,K5/J5)</f>
        <v>0.777777777777778</v>
      </c>
    </row>
    <row r="6" customFormat="false" ht="15" hidden="false" customHeight="false" outlineLevel="0" collapsed="false">
      <c r="A6" s="5" t="s">
        <v>65</v>
      </c>
      <c r="B6" s="5" t="s">
        <v>60</v>
      </c>
      <c r="C6" s="5" t="s">
        <v>48</v>
      </c>
      <c r="D6" s="5" t="s">
        <v>61</v>
      </c>
      <c r="E6" s="5" t="s">
        <v>56</v>
      </c>
      <c r="F6" s="5" t="s">
        <v>57</v>
      </c>
      <c r="G6" s="5" t="s">
        <v>58</v>
      </c>
      <c r="H6" s="5" t="n">
        <v>0</v>
      </c>
      <c r="I6" s="5" t="n">
        <v>0</v>
      </c>
      <c r="J6" s="5" t="n">
        <v>17</v>
      </c>
      <c r="K6" s="5" t="n">
        <v>13</v>
      </c>
      <c r="L6" s="5" t="n">
        <f aca="false">J6-K6</f>
        <v>4</v>
      </c>
      <c r="M6" s="11" t="n">
        <f aca="false">IF(J6=0,0,K6/J6)</f>
        <v>0.764705882352941</v>
      </c>
    </row>
    <row r="7" customFormat="false" ht="15" hidden="false" customHeight="false" outlineLevel="0" collapsed="false">
      <c r="A7" s="5" t="s">
        <v>66</v>
      </c>
      <c r="B7" s="5" t="s">
        <v>60</v>
      </c>
      <c r="C7" s="5" t="s">
        <v>48</v>
      </c>
      <c r="D7" s="5" t="s">
        <v>67</v>
      </c>
      <c r="E7" s="5" t="s">
        <v>56</v>
      </c>
      <c r="F7" s="5" t="s">
        <v>57</v>
      </c>
      <c r="G7" s="5" t="s">
        <v>58</v>
      </c>
      <c r="H7" s="5" t="n">
        <v>0</v>
      </c>
      <c r="I7" s="5" t="n">
        <v>0</v>
      </c>
      <c r="J7" s="5" t="n">
        <v>16</v>
      </c>
      <c r="K7" s="5" t="n">
        <v>14</v>
      </c>
      <c r="L7" s="5" t="n">
        <f aca="false">J7-K7</f>
        <v>2</v>
      </c>
      <c r="M7" s="11" t="n">
        <f aca="false">IF(J7=0,0,K7/J7)</f>
        <v>0.875</v>
      </c>
    </row>
    <row r="8" customFormat="false" ht="15" hidden="false" customHeight="false" outlineLevel="0" collapsed="false">
      <c r="A8" s="5" t="s">
        <v>68</v>
      </c>
      <c r="B8" s="5" t="s">
        <v>60</v>
      </c>
      <c r="C8" s="5" t="s">
        <v>48</v>
      </c>
      <c r="D8" s="5" t="s">
        <v>69</v>
      </c>
      <c r="E8" s="5" t="s">
        <v>64</v>
      </c>
      <c r="F8" s="5" t="s">
        <v>57</v>
      </c>
      <c r="G8" s="5" t="s">
        <v>58</v>
      </c>
      <c r="H8" s="5" t="n">
        <v>0</v>
      </c>
      <c r="I8" s="5" t="n">
        <v>0</v>
      </c>
      <c r="J8" s="5" t="n">
        <v>8</v>
      </c>
      <c r="K8" s="5" t="n">
        <v>6</v>
      </c>
      <c r="L8" s="5" t="n">
        <f aca="false">J8-K8</f>
        <v>2</v>
      </c>
      <c r="M8" s="11" t="n">
        <f aca="false">IF(J8=0,0,K8/J8)</f>
        <v>0.75</v>
      </c>
    </row>
    <row r="9" customFormat="false" ht="15" hidden="false" customHeight="false" outlineLevel="0" collapsed="false">
      <c r="A9" s="5" t="s">
        <v>70</v>
      </c>
      <c r="B9" s="5" t="s">
        <v>71</v>
      </c>
      <c r="C9" s="5" t="s">
        <v>48</v>
      </c>
      <c r="D9" s="5" t="s">
        <v>72</v>
      </c>
      <c r="E9" s="5" t="s">
        <v>56</v>
      </c>
      <c r="F9" s="5" t="s">
        <v>51</v>
      </c>
      <c r="G9" s="5" t="s">
        <v>52</v>
      </c>
      <c r="H9" s="5" t="n">
        <v>8</v>
      </c>
      <c r="I9" s="5" t="n">
        <v>8</v>
      </c>
      <c r="J9" s="5" t="n">
        <v>7</v>
      </c>
      <c r="K9" s="5" t="n">
        <v>7</v>
      </c>
      <c r="L9" s="5" t="n">
        <f aca="false">J9-K9</f>
        <v>0</v>
      </c>
      <c r="M9" s="11" t="n">
        <f aca="false">IF(J9=0,0,K9/J9)</f>
        <v>1</v>
      </c>
    </row>
    <row r="10" customFormat="false" ht="15" hidden="false" customHeight="false" outlineLevel="0" collapsed="false">
      <c r="A10" s="5" t="s">
        <v>73</v>
      </c>
      <c r="B10" s="5" t="s">
        <v>60</v>
      </c>
      <c r="C10" s="5" t="s">
        <v>48</v>
      </c>
      <c r="D10" s="5" t="s">
        <v>74</v>
      </c>
      <c r="E10" s="5" t="s">
        <v>56</v>
      </c>
      <c r="F10" s="5" t="s">
        <v>57</v>
      </c>
      <c r="G10" s="5" t="s">
        <v>58</v>
      </c>
      <c r="H10" s="5" t="n">
        <v>0</v>
      </c>
      <c r="I10" s="5" t="n">
        <v>0</v>
      </c>
      <c r="J10" s="5" t="n">
        <v>19</v>
      </c>
      <c r="K10" s="5" t="n">
        <v>18</v>
      </c>
      <c r="L10" s="5" t="n">
        <f aca="false">J10-K10</f>
        <v>1</v>
      </c>
      <c r="M10" s="11" t="n">
        <f aca="false">IF(J10=0,0,K10/J10)</f>
        <v>0.947368421052632</v>
      </c>
    </row>
    <row r="11" customFormat="false" ht="15" hidden="false" customHeight="false" outlineLevel="0" collapsed="false">
      <c r="A11" s="5" t="s">
        <v>75</v>
      </c>
      <c r="B11" s="5" t="s">
        <v>60</v>
      </c>
      <c r="C11" s="5" t="s">
        <v>48</v>
      </c>
      <c r="D11" s="5" t="s">
        <v>76</v>
      </c>
      <c r="E11" s="5" t="s">
        <v>56</v>
      </c>
      <c r="F11" s="5" t="s">
        <v>57</v>
      </c>
      <c r="G11" s="5" t="s">
        <v>58</v>
      </c>
      <c r="H11" s="5" t="n">
        <v>0</v>
      </c>
      <c r="I11" s="5" t="n">
        <v>0</v>
      </c>
      <c r="J11" s="5" t="n">
        <v>18</v>
      </c>
      <c r="K11" s="5" t="n">
        <v>18</v>
      </c>
      <c r="L11" s="5" t="n">
        <f aca="false">J11-K11</f>
        <v>0</v>
      </c>
      <c r="M11" s="11" t="n">
        <f aca="false">IF(J11=0,0,K11/J11)</f>
        <v>1</v>
      </c>
    </row>
    <row r="12" customFormat="false" ht="15" hidden="false" customHeight="false" outlineLevel="0" collapsed="false">
      <c r="A12" s="5" t="s">
        <v>77</v>
      </c>
      <c r="B12" s="5" t="s">
        <v>60</v>
      </c>
      <c r="C12" s="5" t="s">
        <v>48</v>
      </c>
      <c r="D12" s="5" t="s">
        <v>74</v>
      </c>
      <c r="E12" s="5" t="s">
        <v>56</v>
      </c>
      <c r="F12" s="5" t="s">
        <v>57</v>
      </c>
      <c r="G12" s="5" t="s">
        <v>58</v>
      </c>
      <c r="H12" s="5" t="n">
        <v>0</v>
      </c>
      <c r="I12" s="5" t="n">
        <v>0</v>
      </c>
      <c r="J12" s="5" t="n">
        <v>17</v>
      </c>
      <c r="K12" s="5" t="n">
        <v>16</v>
      </c>
      <c r="L12" s="5" t="n">
        <f aca="false">J12-K12</f>
        <v>1</v>
      </c>
      <c r="M12" s="11" t="n">
        <f aca="false">IF(J12=0,0,K12/J12)</f>
        <v>0.941176470588235</v>
      </c>
    </row>
    <row r="13" customFormat="false" ht="15" hidden="false" customHeight="false" outlineLevel="0" collapsed="false">
      <c r="A13" s="5" t="s">
        <v>78</v>
      </c>
      <c r="B13" s="5" t="s">
        <v>60</v>
      </c>
      <c r="C13" s="5" t="s">
        <v>48</v>
      </c>
      <c r="D13" s="5" t="s">
        <v>74</v>
      </c>
      <c r="E13" s="5" t="s">
        <v>56</v>
      </c>
      <c r="F13" s="5" t="s">
        <v>57</v>
      </c>
      <c r="G13" s="5" t="s">
        <v>58</v>
      </c>
      <c r="H13" s="5" t="n">
        <v>0</v>
      </c>
      <c r="I13" s="5" t="n">
        <v>0</v>
      </c>
      <c r="J13" s="5" t="n">
        <v>21</v>
      </c>
      <c r="K13" s="5" t="n">
        <v>19</v>
      </c>
      <c r="L13" s="5" t="n">
        <f aca="false">J13-K13</f>
        <v>2</v>
      </c>
      <c r="M13" s="11" t="n">
        <f aca="false">IF(J13=0,0,K13/J13)</f>
        <v>0.904761904761905</v>
      </c>
    </row>
    <row r="14" customFormat="false" ht="15" hidden="false" customHeight="false" outlineLevel="0" collapsed="false">
      <c r="A14" s="5" t="s">
        <v>79</v>
      </c>
      <c r="B14" s="5" t="s">
        <v>60</v>
      </c>
      <c r="C14" s="5" t="s">
        <v>48</v>
      </c>
      <c r="D14" s="5" t="s">
        <v>80</v>
      </c>
      <c r="E14" s="5" t="s">
        <v>56</v>
      </c>
      <c r="F14" s="5" t="s">
        <v>57</v>
      </c>
      <c r="G14" s="5" t="s">
        <v>58</v>
      </c>
      <c r="H14" s="5" t="n">
        <v>0</v>
      </c>
      <c r="I14" s="5" t="n">
        <v>0</v>
      </c>
      <c r="J14" s="5" t="n">
        <v>18</v>
      </c>
      <c r="K14" s="5" t="n">
        <v>17</v>
      </c>
      <c r="L14" s="5" t="n">
        <f aca="false">J14-K14</f>
        <v>1</v>
      </c>
      <c r="M14" s="11" t="n">
        <f aca="false">IF(J14=0,0,K14/J14)</f>
        <v>0.944444444444444</v>
      </c>
    </row>
    <row r="15" customFormat="false" ht="15" hidden="false" customHeight="false" outlineLevel="0" collapsed="false">
      <c r="A15" s="5" t="s">
        <v>81</v>
      </c>
      <c r="B15" s="5" t="s">
        <v>71</v>
      </c>
      <c r="C15" s="5" t="s">
        <v>48</v>
      </c>
      <c r="D15" s="5" t="s">
        <v>82</v>
      </c>
      <c r="E15" s="5" t="s">
        <v>56</v>
      </c>
      <c r="F15" s="5" t="s">
        <v>51</v>
      </c>
      <c r="G15" s="5" t="s">
        <v>52</v>
      </c>
      <c r="H15" s="5" t="n">
        <v>8</v>
      </c>
      <c r="I15" s="5" t="n">
        <v>8</v>
      </c>
      <c r="J15" s="5" t="n">
        <v>7</v>
      </c>
      <c r="K15" s="5" t="n">
        <v>7</v>
      </c>
      <c r="L15" s="5" t="n">
        <f aca="false">J15-K15</f>
        <v>0</v>
      </c>
      <c r="M15" s="11" t="n">
        <f aca="false">IF(J15=0,0,K15/J15)</f>
        <v>1</v>
      </c>
    </row>
    <row r="16" customFormat="false" ht="15" hidden="false" customHeight="false" outlineLevel="0" collapsed="false">
      <c r="A16" s="5" t="s">
        <v>83</v>
      </c>
      <c r="B16" s="5" t="s">
        <v>54</v>
      </c>
      <c r="C16" s="5" t="s">
        <v>48</v>
      </c>
      <c r="D16" s="5" t="s">
        <v>84</v>
      </c>
      <c r="E16" s="5" t="s">
        <v>85</v>
      </c>
      <c r="F16" s="5" t="s">
        <v>57</v>
      </c>
      <c r="G16" s="5" t="s">
        <v>58</v>
      </c>
      <c r="H16" s="5" t="n">
        <v>0</v>
      </c>
      <c r="I16" s="5" t="n">
        <v>0</v>
      </c>
      <c r="J16" s="5" t="n">
        <v>9</v>
      </c>
      <c r="K16" s="5" t="n">
        <v>7</v>
      </c>
      <c r="L16" s="5" t="n">
        <f aca="false">J16-K16</f>
        <v>2</v>
      </c>
      <c r="M16" s="11" t="n">
        <f aca="false">IF(J16=0,0,K16/J16)</f>
        <v>0.777777777777778</v>
      </c>
    </row>
    <row r="17" customFormat="false" ht="15" hidden="false" customHeight="false" outlineLevel="0" collapsed="false">
      <c r="A17" s="5" t="s">
        <v>86</v>
      </c>
      <c r="B17" s="5" t="s">
        <v>60</v>
      </c>
      <c r="C17" s="5" t="s">
        <v>48</v>
      </c>
      <c r="D17" s="5" t="s">
        <v>82</v>
      </c>
      <c r="E17" s="5" t="s">
        <v>87</v>
      </c>
      <c r="F17" s="5" t="s">
        <v>57</v>
      </c>
      <c r="G17" s="5" t="s">
        <v>58</v>
      </c>
      <c r="H17" s="5" t="n">
        <v>0</v>
      </c>
      <c r="I17" s="5" t="n">
        <v>0</v>
      </c>
      <c r="J17" s="5" t="n">
        <v>17</v>
      </c>
      <c r="K17" s="5" t="n">
        <v>17</v>
      </c>
      <c r="L17" s="5" t="n">
        <f aca="false">J17-K17</f>
        <v>0</v>
      </c>
      <c r="M17" s="11" t="n">
        <f aca="false">IF(J17=0,0,K17/J17)</f>
        <v>1</v>
      </c>
    </row>
    <row r="18" customFormat="false" ht="15" hidden="false" customHeight="false" outlineLevel="0" collapsed="false">
      <c r="A18" s="5" t="s">
        <v>88</v>
      </c>
      <c r="B18" s="5" t="s">
        <v>60</v>
      </c>
      <c r="C18" s="5" t="s">
        <v>48</v>
      </c>
      <c r="D18" s="5" t="s">
        <v>89</v>
      </c>
      <c r="E18" s="5" t="s">
        <v>90</v>
      </c>
      <c r="F18" s="5" t="s">
        <v>57</v>
      </c>
      <c r="G18" s="5" t="s">
        <v>58</v>
      </c>
      <c r="H18" s="5" t="n">
        <v>0</v>
      </c>
      <c r="I18" s="5" t="n">
        <v>0</v>
      </c>
      <c r="J18" s="5" t="n">
        <v>16</v>
      </c>
      <c r="K18" s="5" t="n">
        <v>14</v>
      </c>
      <c r="L18" s="5" t="n">
        <f aca="false">J18-K18</f>
        <v>2</v>
      </c>
      <c r="M18" s="11" t="n">
        <f aca="false">IF(J18=0,0,K18/J18)</f>
        <v>0.875</v>
      </c>
    </row>
    <row r="19" customFormat="false" ht="15" hidden="false" customHeight="false" outlineLevel="0" collapsed="false">
      <c r="A19" s="5" t="s">
        <v>91</v>
      </c>
      <c r="B19" s="5" t="s">
        <v>60</v>
      </c>
      <c r="C19" s="5" t="s">
        <v>48</v>
      </c>
      <c r="D19" s="5" t="s">
        <v>92</v>
      </c>
      <c r="E19" s="5" t="s">
        <v>93</v>
      </c>
      <c r="F19" s="5" t="s">
        <v>57</v>
      </c>
      <c r="G19" s="5" t="s">
        <v>58</v>
      </c>
      <c r="H19" s="5" t="n">
        <v>0</v>
      </c>
      <c r="I19" s="5" t="n">
        <v>0</v>
      </c>
      <c r="J19" s="5" t="n">
        <v>20</v>
      </c>
      <c r="K19" s="5" t="n">
        <v>15</v>
      </c>
      <c r="L19" s="5" t="n">
        <f aca="false">J19-K19</f>
        <v>5</v>
      </c>
      <c r="M19" s="11" t="n">
        <f aca="false">IF(J19=0,0,K19/J19)</f>
        <v>0.75</v>
      </c>
    </row>
    <row r="20" customFormat="false" ht="15" hidden="false" customHeight="false" outlineLevel="0" collapsed="false">
      <c r="A20" s="5" t="s">
        <v>94</v>
      </c>
      <c r="B20" s="5" t="s">
        <v>54</v>
      </c>
      <c r="C20" s="5" t="s">
        <v>48</v>
      </c>
      <c r="D20" s="5" t="s">
        <v>95</v>
      </c>
      <c r="E20" s="5" t="s">
        <v>96</v>
      </c>
      <c r="F20" s="5" t="s">
        <v>57</v>
      </c>
      <c r="G20" s="5" t="s">
        <v>58</v>
      </c>
      <c r="H20" s="5" t="n">
        <v>0</v>
      </c>
      <c r="I20" s="5" t="n">
        <v>0</v>
      </c>
      <c r="J20" s="5" t="n">
        <v>23</v>
      </c>
      <c r="K20" s="5" t="n">
        <v>15</v>
      </c>
      <c r="L20" s="5" t="n">
        <f aca="false">J20-K20</f>
        <v>8</v>
      </c>
      <c r="M20" s="11" t="n">
        <f aca="false">IF(J20=0,0,K20/J20)</f>
        <v>0.652173913043478</v>
      </c>
    </row>
    <row r="21" customFormat="false" ht="15" hidden="false" customHeight="false" outlineLevel="0" collapsed="false">
      <c r="A21" s="5" t="s">
        <v>97</v>
      </c>
      <c r="B21" s="5" t="s">
        <v>47</v>
      </c>
      <c r="C21" s="5" t="s">
        <v>48</v>
      </c>
      <c r="D21" s="5" t="s">
        <v>98</v>
      </c>
      <c r="E21" s="5" t="s">
        <v>56</v>
      </c>
      <c r="F21" s="5" t="s">
        <v>51</v>
      </c>
      <c r="G21" s="5" t="s">
        <v>52</v>
      </c>
      <c r="H21" s="5" t="n">
        <v>6</v>
      </c>
      <c r="I21" s="5" t="n">
        <v>6</v>
      </c>
      <c r="J21" s="5" t="n">
        <v>7</v>
      </c>
      <c r="K21" s="5" t="n">
        <v>7</v>
      </c>
      <c r="L21" s="5" t="n">
        <f aca="false">J21-K21</f>
        <v>0</v>
      </c>
      <c r="M21" s="11" t="n">
        <f aca="false">IF(J21=0,0,K21/J21)</f>
        <v>1</v>
      </c>
    </row>
    <row r="22" customFormat="false" ht="15" hidden="false" customHeight="false" outlineLevel="0" collapsed="false">
      <c r="A22" s="5" t="s">
        <v>99</v>
      </c>
      <c r="B22" s="5" t="s">
        <v>54</v>
      </c>
      <c r="C22" s="5" t="s">
        <v>48</v>
      </c>
      <c r="D22" s="5" t="s">
        <v>100</v>
      </c>
      <c r="E22" s="5" t="s">
        <v>56</v>
      </c>
      <c r="F22" s="5" t="s">
        <v>57</v>
      </c>
      <c r="G22" s="5" t="s">
        <v>58</v>
      </c>
      <c r="H22" s="5" t="n">
        <v>0</v>
      </c>
      <c r="I22" s="5" t="n">
        <v>0</v>
      </c>
      <c r="J22" s="5" t="n">
        <v>8</v>
      </c>
      <c r="K22" s="5" t="n">
        <v>6</v>
      </c>
      <c r="L22" s="5" t="n">
        <f aca="false">J22-K22</f>
        <v>2</v>
      </c>
      <c r="M22" s="11" t="n">
        <f aca="false">IF(J22=0,0,K22/J22)</f>
        <v>0.75</v>
      </c>
    </row>
    <row r="23" customFormat="false" ht="15" hidden="false" customHeight="false" outlineLevel="0" collapsed="false">
      <c r="A23" s="5" t="s">
        <v>101</v>
      </c>
      <c r="B23" s="5" t="s">
        <v>60</v>
      </c>
      <c r="C23" s="5" t="s">
        <v>48</v>
      </c>
      <c r="D23" s="5" t="s">
        <v>102</v>
      </c>
      <c r="E23" s="5" t="s">
        <v>56</v>
      </c>
      <c r="F23" s="5" t="s">
        <v>57</v>
      </c>
      <c r="G23" s="5" t="s">
        <v>58</v>
      </c>
      <c r="H23" s="5" t="n">
        <v>0</v>
      </c>
      <c r="I23" s="5" t="n">
        <v>0</v>
      </c>
      <c r="J23" s="5" t="n">
        <v>14</v>
      </c>
      <c r="K23" s="5" t="n">
        <v>14</v>
      </c>
      <c r="L23" s="5" t="n">
        <f aca="false">J23-K23</f>
        <v>0</v>
      </c>
      <c r="M23" s="11" t="n">
        <f aca="false">IF(J23=0,0,K23/J23)</f>
        <v>1</v>
      </c>
    </row>
    <row r="24" customFormat="false" ht="15" hidden="false" customHeight="false" outlineLevel="0" collapsed="false">
      <c r="A24" s="5" t="s">
        <v>103</v>
      </c>
      <c r="B24" s="5" t="s">
        <v>104</v>
      </c>
      <c r="C24" s="5" t="s">
        <v>48</v>
      </c>
      <c r="D24" s="5" t="s">
        <v>105</v>
      </c>
      <c r="E24" s="5" t="s">
        <v>106</v>
      </c>
      <c r="F24" s="5" t="s">
        <v>57</v>
      </c>
      <c r="G24" s="5" t="s">
        <v>58</v>
      </c>
      <c r="H24" s="5" t="n">
        <v>0</v>
      </c>
      <c r="I24" s="5" t="n">
        <v>0</v>
      </c>
      <c r="J24" s="5" t="n">
        <v>3</v>
      </c>
      <c r="K24" s="5" t="n">
        <v>3</v>
      </c>
      <c r="L24" s="5" t="n">
        <f aca="false">J24-K24</f>
        <v>0</v>
      </c>
      <c r="M24" s="11" t="n">
        <f aca="false">IF(J24=0,0,K24/J24)</f>
        <v>1</v>
      </c>
    </row>
    <row r="25" customFormat="false" ht="15" hidden="false" customHeight="false" outlineLevel="0" collapsed="false">
      <c r="A25" s="5" t="s">
        <v>107</v>
      </c>
      <c r="B25" s="5" t="s">
        <v>60</v>
      </c>
      <c r="C25" s="5" t="s">
        <v>48</v>
      </c>
      <c r="D25" s="5" t="s">
        <v>108</v>
      </c>
      <c r="E25" s="5" t="s">
        <v>56</v>
      </c>
      <c r="F25" s="5" t="s">
        <v>57</v>
      </c>
      <c r="G25" s="5" t="s">
        <v>58</v>
      </c>
      <c r="H25" s="5" t="n">
        <v>0</v>
      </c>
      <c r="I25" s="5" t="n">
        <v>0</v>
      </c>
      <c r="J25" s="5" t="n">
        <v>16</v>
      </c>
      <c r="K25" s="5" t="n">
        <v>16</v>
      </c>
      <c r="L25" s="5" t="n">
        <f aca="false">J25-K25</f>
        <v>0</v>
      </c>
      <c r="M25" s="11" t="n">
        <f aca="false">IF(J25=0,0,K25/J25)</f>
        <v>1</v>
      </c>
    </row>
    <row r="26" customFormat="false" ht="15" hidden="false" customHeight="false" outlineLevel="0" collapsed="false">
      <c r="A26" s="5" t="s">
        <v>109</v>
      </c>
      <c r="B26" s="5" t="s">
        <v>60</v>
      </c>
      <c r="C26" s="5" t="s">
        <v>48</v>
      </c>
      <c r="D26" s="5" t="s">
        <v>110</v>
      </c>
      <c r="E26" s="5" t="s">
        <v>111</v>
      </c>
      <c r="F26" s="5" t="s">
        <v>57</v>
      </c>
      <c r="G26" s="5" t="s">
        <v>58</v>
      </c>
      <c r="H26" s="5" t="n">
        <v>0</v>
      </c>
      <c r="I26" s="5" t="n">
        <v>0</v>
      </c>
      <c r="J26" s="5" t="n">
        <v>22</v>
      </c>
      <c r="K26" s="5" t="n">
        <v>19</v>
      </c>
      <c r="L26" s="5" t="n">
        <f aca="false">J26-K26</f>
        <v>3</v>
      </c>
      <c r="M26" s="11" t="n">
        <f aca="false">IF(J26=0,0,K26/J26)</f>
        <v>0.863636363636364</v>
      </c>
    </row>
    <row r="27" customFormat="false" ht="15" hidden="false" customHeight="false" outlineLevel="0" collapsed="false">
      <c r="A27" s="5" t="s">
        <v>112</v>
      </c>
      <c r="B27" s="5" t="s">
        <v>60</v>
      </c>
      <c r="C27" s="5" t="s">
        <v>48</v>
      </c>
      <c r="D27" s="5" t="s">
        <v>113</v>
      </c>
      <c r="E27" s="5" t="s">
        <v>114</v>
      </c>
      <c r="F27" s="5" t="s">
        <v>57</v>
      </c>
      <c r="G27" s="5" t="s">
        <v>58</v>
      </c>
      <c r="H27" s="5" t="n">
        <v>0</v>
      </c>
      <c r="I27" s="5" t="n">
        <v>0</v>
      </c>
      <c r="J27" s="5" t="n">
        <v>19</v>
      </c>
      <c r="K27" s="5" t="n">
        <v>18</v>
      </c>
      <c r="L27" s="5" t="n">
        <f aca="false">J27-K27</f>
        <v>1</v>
      </c>
      <c r="M27" s="11" t="n">
        <f aca="false">IF(J27=0,0,K27/J27)</f>
        <v>0.947368421052632</v>
      </c>
    </row>
    <row r="28" customFormat="false" ht="15" hidden="false" customHeight="false" outlineLevel="0" collapsed="false">
      <c r="A28" s="5" t="s">
        <v>115</v>
      </c>
      <c r="B28" s="5" t="s">
        <v>60</v>
      </c>
      <c r="C28" s="5" t="s">
        <v>48</v>
      </c>
      <c r="D28" s="5" t="s">
        <v>116</v>
      </c>
      <c r="E28" s="5" t="s">
        <v>56</v>
      </c>
      <c r="F28" s="5" t="s">
        <v>57</v>
      </c>
      <c r="G28" s="5" t="s">
        <v>58</v>
      </c>
      <c r="H28" s="5" t="n">
        <v>0</v>
      </c>
      <c r="I28" s="5" t="n">
        <v>0</v>
      </c>
      <c r="J28" s="5" t="n">
        <v>15</v>
      </c>
      <c r="K28" s="5" t="n">
        <v>14</v>
      </c>
      <c r="L28" s="5" t="n">
        <f aca="false">J28-K28</f>
        <v>1</v>
      </c>
      <c r="M28" s="11" t="n">
        <f aca="false">IF(J28=0,0,K28/J28)</f>
        <v>0.933333333333333</v>
      </c>
    </row>
    <row r="29" customFormat="false" ht="15" hidden="false" customHeight="false" outlineLevel="0" collapsed="false">
      <c r="A29" s="5" t="s">
        <v>117</v>
      </c>
      <c r="B29" s="5" t="s">
        <v>60</v>
      </c>
      <c r="C29" s="5" t="s">
        <v>48</v>
      </c>
      <c r="D29" s="5" t="s">
        <v>49</v>
      </c>
      <c r="E29" s="5" t="s">
        <v>50</v>
      </c>
      <c r="F29" s="5" t="s">
        <v>57</v>
      </c>
      <c r="G29" s="5" t="s">
        <v>58</v>
      </c>
      <c r="H29" s="5" t="n">
        <v>0</v>
      </c>
      <c r="I29" s="5" t="n">
        <v>0</v>
      </c>
      <c r="J29" s="5" t="n">
        <v>11</v>
      </c>
      <c r="K29" s="5" t="n">
        <v>9</v>
      </c>
      <c r="L29" s="5" t="n">
        <f aca="false">J29-K29</f>
        <v>2</v>
      </c>
      <c r="M29" s="11" t="n">
        <f aca="false">IF(J29=0,0,K29/J29)</f>
        <v>0.818181818181818</v>
      </c>
    </row>
    <row r="30" customFormat="false" ht="15" hidden="false" customHeight="false" outlineLevel="0" collapsed="false">
      <c r="A30" s="5" t="s">
        <v>118</v>
      </c>
      <c r="B30" s="5" t="s">
        <v>60</v>
      </c>
      <c r="C30" s="5" t="s">
        <v>48</v>
      </c>
      <c r="D30" s="5" t="s">
        <v>49</v>
      </c>
      <c r="E30" s="5" t="s">
        <v>119</v>
      </c>
      <c r="F30" s="5" t="s">
        <v>57</v>
      </c>
      <c r="G30" s="5" t="s">
        <v>58</v>
      </c>
      <c r="H30" s="5" t="n">
        <v>0</v>
      </c>
      <c r="I30" s="5" t="n">
        <v>0</v>
      </c>
      <c r="J30" s="5" t="n">
        <v>14</v>
      </c>
      <c r="K30" s="5" t="n">
        <v>11</v>
      </c>
      <c r="L30" s="5" t="n">
        <f aca="false">J30-K30</f>
        <v>3</v>
      </c>
      <c r="M30" s="11" t="n">
        <f aca="false">IF(J30=0,0,K30/J30)</f>
        <v>0.785714285714286</v>
      </c>
    </row>
    <row r="31" customFormat="false" ht="15" hidden="false" customHeight="false" outlineLevel="0" collapsed="false">
      <c r="A31" s="5" t="s">
        <v>120</v>
      </c>
      <c r="B31" s="5" t="s">
        <v>60</v>
      </c>
      <c r="C31" s="5" t="s">
        <v>48</v>
      </c>
      <c r="D31" s="5" t="s">
        <v>121</v>
      </c>
      <c r="E31" s="5" t="s">
        <v>122</v>
      </c>
      <c r="F31" s="5" t="s">
        <v>57</v>
      </c>
      <c r="G31" s="5" t="s">
        <v>58</v>
      </c>
      <c r="H31" s="5" t="n">
        <v>0</v>
      </c>
      <c r="I31" s="5" t="n">
        <v>0</v>
      </c>
      <c r="J31" s="5" t="n">
        <v>21</v>
      </c>
      <c r="K31" s="5" t="n">
        <v>18</v>
      </c>
      <c r="L31" s="5" t="n">
        <f aca="false">J31-K31</f>
        <v>3</v>
      </c>
      <c r="M31" s="11" t="n">
        <f aca="false">IF(J31=0,0,K31/J31)</f>
        <v>0.857142857142857</v>
      </c>
    </row>
    <row r="32" customFormat="false" ht="15" hidden="false" customHeight="false" outlineLevel="0" collapsed="false">
      <c r="A32" s="5" t="s">
        <v>123</v>
      </c>
      <c r="B32" s="5" t="s">
        <v>60</v>
      </c>
      <c r="C32" s="5" t="s">
        <v>48</v>
      </c>
      <c r="D32" s="5" t="s">
        <v>124</v>
      </c>
      <c r="E32" s="5" t="s">
        <v>125</v>
      </c>
      <c r="F32" s="5" t="s">
        <v>57</v>
      </c>
      <c r="G32" s="5" t="s">
        <v>58</v>
      </c>
      <c r="H32" s="5" t="n">
        <v>0</v>
      </c>
      <c r="I32" s="5" t="n">
        <v>0</v>
      </c>
      <c r="J32" s="5" t="n">
        <v>14</v>
      </c>
      <c r="K32" s="5" t="n">
        <v>13</v>
      </c>
      <c r="L32" s="5" t="n">
        <f aca="false">J32-K32</f>
        <v>1</v>
      </c>
      <c r="M32" s="11" t="n">
        <f aca="false">IF(J32=0,0,K32/J32)</f>
        <v>0.928571428571429</v>
      </c>
    </row>
    <row r="33" customFormat="false" ht="15" hidden="false" customHeight="false" outlineLevel="0" collapsed="false">
      <c r="A33" s="5" t="s">
        <v>126</v>
      </c>
      <c r="B33" s="5" t="s">
        <v>60</v>
      </c>
      <c r="C33" s="5" t="s">
        <v>48</v>
      </c>
      <c r="D33" s="5" t="s">
        <v>127</v>
      </c>
      <c r="E33" s="5" t="s">
        <v>62</v>
      </c>
      <c r="F33" s="5" t="s">
        <v>57</v>
      </c>
      <c r="G33" s="5" t="s">
        <v>58</v>
      </c>
      <c r="H33" s="5" t="n">
        <v>0</v>
      </c>
      <c r="I33" s="5" t="n">
        <v>0</v>
      </c>
      <c r="J33" s="5" t="n">
        <v>14</v>
      </c>
      <c r="K33" s="5" t="n">
        <v>12</v>
      </c>
      <c r="L33" s="5" t="n">
        <f aca="false">J33-K33</f>
        <v>2</v>
      </c>
      <c r="M33" s="11" t="n">
        <f aca="false">IF(J33=0,0,K33/J33)</f>
        <v>0.857142857142857</v>
      </c>
    </row>
    <row r="34" customFormat="false" ht="15" hidden="false" customHeight="false" outlineLevel="0" collapsed="false">
      <c r="A34" s="5" t="s">
        <v>128</v>
      </c>
      <c r="B34" s="5" t="s">
        <v>47</v>
      </c>
      <c r="C34" s="5" t="s">
        <v>48</v>
      </c>
      <c r="D34" s="5" t="s">
        <v>129</v>
      </c>
      <c r="E34" s="5" t="s">
        <v>130</v>
      </c>
      <c r="F34" s="5" t="s">
        <v>51</v>
      </c>
      <c r="G34" s="5" t="s">
        <v>52</v>
      </c>
      <c r="H34" s="5" t="n">
        <v>7</v>
      </c>
      <c r="I34" s="5" t="n">
        <v>7</v>
      </c>
      <c r="J34" s="5" t="n">
        <v>7</v>
      </c>
      <c r="K34" s="5" t="n">
        <v>7</v>
      </c>
      <c r="L34" s="5" t="n">
        <f aca="false">J34-K34</f>
        <v>0</v>
      </c>
      <c r="M34" s="11" t="n">
        <f aca="false">IF(J34=0,0,K34/J34)</f>
        <v>1</v>
      </c>
    </row>
    <row r="35" customFormat="false" ht="15" hidden="false" customHeight="false" outlineLevel="0" collapsed="false">
      <c r="A35" s="5" t="s">
        <v>131</v>
      </c>
      <c r="B35" s="5" t="s">
        <v>60</v>
      </c>
      <c r="C35" s="5" t="s">
        <v>48</v>
      </c>
      <c r="D35" s="5" t="s">
        <v>129</v>
      </c>
      <c r="E35" s="5" t="s">
        <v>130</v>
      </c>
      <c r="F35" s="5" t="s">
        <v>57</v>
      </c>
      <c r="G35" s="5" t="s">
        <v>58</v>
      </c>
      <c r="H35" s="5" t="n">
        <v>0</v>
      </c>
      <c r="I35" s="5" t="n">
        <v>0</v>
      </c>
      <c r="J35" s="5" t="n">
        <v>19</v>
      </c>
      <c r="K35" s="5" t="n">
        <v>18</v>
      </c>
      <c r="L35" s="5" t="n">
        <f aca="false">J35-K35</f>
        <v>1</v>
      </c>
      <c r="M35" s="11" t="n">
        <f aca="false">IF(J35=0,0,K35/J35)</f>
        <v>0.947368421052632</v>
      </c>
    </row>
    <row r="36" customFormat="false" ht="15" hidden="false" customHeight="false" outlineLevel="0" collapsed="false">
      <c r="A36" s="5" t="s">
        <v>132</v>
      </c>
      <c r="B36" s="5" t="s">
        <v>60</v>
      </c>
      <c r="C36" s="5" t="s">
        <v>48</v>
      </c>
      <c r="D36" s="5" t="s">
        <v>133</v>
      </c>
      <c r="E36" s="5" t="s">
        <v>56</v>
      </c>
      <c r="F36" s="5" t="s">
        <v>57</v>
      </c>
      <c r="G36" s="5" t="s">
        <v>58</v>
      </c>
      <c r="H36" s="5" t="n">
        <v>0</v>
      </c>
      <c r="I36" s="5" t="n">
        <v>0</v>
      </c>
      <c r="J36" s="5" t="n">
        <v>14</v>
      </c>
      <c r="K36" s="5" t="n">
        <v>14</v>
      </c>
      <c r="L36" s="5" t="n">
        <f aca="false">J36-K36</f>
        <v>0</v>
      </c>
      <c r="M36" s="11" t="n">
        <f aca="false">IF(J36=0,0,K36/J36)</f>
        <v>1</v>
      </c>
    </row>
    <row r="37" customFormat="false" ht="15" hidden="false" customHeight="false" outlineLevel="0" collapsed="false">
      <c r="A37" s="5" t="s">
        <v>134</v>
      </c>
      <c r="B37" s="5" t="s">
        <v>60</v>
      </c>
      <c r="C37" s="5" t="s">
        <v>48</v>
      </c>
      <c r="D37" s="5" t="s">
        <v>135</v>
      </c>
      <c r="E37" s="5" t="s">
        <v>87</v>
      </c>
      <c r="F37" s="5" t="s">
        <v>57</v>
      </c>
      <c r="G37" s="5" t="s">
        <v>58</v>
      </c>
      <c r="H37" s="5" t="n">
        <v>0</v>
      </c>
      <c r="I37" s="5" t="n">
        <v>0</v>
      </c>
      <c r="J37" s="5" t="n">
        <v>20</v>
      </c>
      <c r="K37" s="5" t="n">
        <v>16</v>
      </c>
      <c r="L37" s="5" t="n">
        <f aca="false">J37-K37</f>
        <v>4</v>
      </c>
      <c r="M37" s="11" t="n">
        <f aca="false">IF(J37=0,0,K37/J37)</f>
        <v>0.8</v>
      </c>
    </row>
    <row r="38" customFormat="false" ht="15" hidden="false" customHeight="false" outlineLevel="0" collapsed="false">
      <c r="A38" s="5" t="s">
        <v>136</v>
      </c>
      <c r="B38" s="5" t="s">
        <v>60</v>
      </c>
      <c r="C38" s="5" t="s">
        <v>48</v>
      </c>
      <c r="D38" s="5" t="s">
        <v>135</v>
      </c>
      <c r="E38" s="5" t="s">
        <v>87</v>
      </c>
      <c r="F38" s="5" t="s">
        <v>57</v>
      </c>
      <c r="G38" s="5" t="s">
        <v>58</v>
      </c>
      <c r="H38" s="5" t="n">
        <v>0</v>
      </c>
      <c r="I38" s="5" t="n">
        <v>0</v>
      </c>
      <c r="J38" s="5" t="n">
        <v>20</v>
      </c>
      <c r="K38" s="5" t="n">
        <v>19</v>
      </c>
      <c r="L38" s="5" t="n">
        <f aca="false">J38-K38</f>
        <v>1</v>
      </c>
      <c r="M38" s="11" t="n">
        <f aca="false">IF(J38=0,0,K38/J38)</f>
        <v>0.95</v>
      </c>
    </row>
    <row r="39" customFormat="false" ht="15" hidden="false" customHeight="false" outlineLevel="0" collapsed="false">
      <c r="A39" s="5" t="s">
        <v>137</v>
      </c>
      <c r="B39" s="5" t="s">
        <v>60</v>
      </c>
      <c r="C39" s="5" t="s">
        <v>48</v>
      </c>
      <c r="D39" s="5" t="s">
        <v>138</v>
      </c>
      <c r="E39" s="5" t="s">
        <v>64</v>
      </c>
      <c r="F39" s="5" t="s">
        <v>57</v>
      </c>
      <c r="G39" s="5" t="s">
        <v>58</v>
      </c>
      <c r="H39" s="5" t="n">
        <v>0</v>
      </c>
      <c r="I39" s="5" t="n">
        <v>0</v>
      </c>
      <c r="J39" s="5" t="n">
        <v>22</v>
      </c>
      <c r="K39" s="5" t="n">
        <v>20</v>
      </c>
      <c r="L39" s="5" t="n">
        <f aca="false">J39-K39</f>
        <v>2</v>
      </c>
      <c r="M39" s="11" t="n">
        <f aca="false">IF(J39=0,0,K39/J39)</f>
        <v>0.909090909090909</v>
      </c>
    </row>
    <row r="40" customFormat="false" ht="15" hidden="false" customHeight="false" outlineLevel="0" collapsed="false">
      <c r="A40" s="5" t="s">
        <v>139</v>
      </c>
      <c r="B40" s="5" t="s">
        <v>60</v>
      </c>
      <c r="C40" s="5" t="s">
        <v>48</v>
      </c>
      <c r="D40" s="5" t="s">
        <v>140</v>
      </c>
      <c r="E40" s="5" t="s">
        <v>141</v>
      </c>
      <c r="F40" s="5" t="s">
        <v>57</v>
      </c>
      <c r="G40" s="5" t="s">
        <v>58</v>
      </c>
      <c r="H40" s="5" t="n">
        <v>0</v>
      </c>
      <c r="I40" s="5" t="n">
        <v>0</v>
      </c>
      <c r="J40" s="5" t="n">
        <v>21</v>
      </c>
      <c r="K40" s="5" t="n">
        <v>17</v>
      </c>
      <c r="L40" s="5" t="n">
        <f aca="false">J40-K40</f>
        <v>4</v>
      </c>
      <c r="M40" s="11" t="n">
        <f aca="false">IF(J40=0,0,K40/J40)</f>
        <v>0.80952380952381</v>
      </c>
    </row>
    <row r="41" customFormat="false" ht="15" hidden="false" customHeight="false" outlineLevel="0" collapsed="false">
      <c r="A41" s="5" t="s">
        <v>142</v>
      </c>
      <c r="B41" s="5" t="s">
        <v>60</v>
      </c>
      <c r="C41" s="5" t="s">
        <v>48</v>
      </c>
      <c r="D41" s="5" t="s">
        <v>140</v>
      </c>
      <c r="E41" s="5" t="s">
        <v>143</v>
      </c>
      <c r="F41" s="5" t="s">
        <v>57</v>
      </c>
      <c r="G41" s="5" t="s">
        <v>58</v>
      </c>
      <c r="H41" s="5" t="n">
        <v>0</v>
      </c>
      <c r="I41" s="5" t="n">
        <v>0</v>
      </c>
      <c r="J41" s="5" t="n">
        <v>21</v>
      </c>
      <c r="K41" s="5" t="n">
        <v>18</v>
      </c>
      <c r="L41" s="5" t="n">
        <f aca="false">J41-K41</f>
        <v>3</v>
      </c>
      <c r="M41" s="11" t="n">
        <f aca="false">IF(J41=0,0,K41/J41)</f>
        <v>0.857142857142857</v>
      </c>
    </row>
    <row r="42" customFormat="false" ht="15" hidden="false" customHeight="false" outlineLevel="0" collapsed="false">
      <c r="A42" s="5" t="s">
        <v>144</v>
      </c>
      <c r="B42" s="5" t="s">
        <v>60</v>
      </c>
      <c r="C42" s="5" t="s">
        <v>48</v>
      </c>
      <c r="D42" s="5" t="s">
        <v>140</v>
      </c>
      <c r="E42" s="5" t="s">
        <v>145</v>
      </c>
      <c r="F42" s="5" t="s">
        <v>57</v>
      </c>
      <c r="G42" s="5" t="s">
        <v>58</v>
      </c>
      <c r="H42" s="5" t="n">
        <v>0</v>
      </c>
      <c r="I42" s="5" t="n">
        <v>0</v>
      </c>
      <c r="J42" s="5" t="n">
        <v>21</v>
      </c>
      <c r="K42" s="5" t="n">
        <v>16</v>
      </c>
      <c r="L42" s="5" t="n">
        <f aca="false">J42-K42</f>
        <v>5</v>
      </c>
      <c r="M42" s="11" t="n">
        <f aca="false">IF(J42=0,0,K42/J42)</f>
        <v>0.761904761904762</v>
      </c>
    </row>
    <row r="43" customFormat="false" ht="15" hidden="false" customHeight="false" outlineLevel="0" collapsed="false">
      <c r="A43" s="5" t="s">
        <v>146</v>
      </c>
      <c r="B43" s="5" t="s">
        <v>60</v>
      </c>
      <c r="C43" s="5" t="s">
        <v>48</v>
      </c>
      <c r="D43" s="5" t="s">
        <v>140</v>
      </c>
      <c r="E43" s="5" t="s">
        <v>147</v>
      </c>
      <c r="F43" s="5" t="s">
        <v>57</v>
      </c>
      <c r="G43" s="5" t="s">
        <v>58</v>
      </c>
      <c r="H43" s="5" t="n">
        <v>0</v>
      </c>
      <c r="I43" s="5" t="n">
        <v>0</v>
      </c>
      <c r="J43" s="5" t="n">
        <v>21</v>
      </c>
      <c r="K43" s="5" t="n">
        <v>18</v>
      </c>
      <c r="L43" s="5" t="n">
        <f aca="false">J43-K43</f>
        <v>3</v>
      </c>
      <c r="M43" s="11" t="n">
        <f aca="false">IF(J43=0,0,K43/J43)</f>
        <v>0.857142857142857</v>
      </c>
    </row>
    <row r="44" customFormat="false" ht="15" hidden="false" customHeight="false" outlineLevel="0" collapsed="false">
      <c r="A44" s="5" t="s">
        <v>148</v>
      </c>
      <c r="B44" s="5" t="s">
        <v>47</v>
      </c>
      <c r="C44" s="5" t="s">
        <v>48</v>
      </c>
      <c r="D44" s="5" t="s">
        <v>149</v>
      </c>
      <c r="E44" s="5" t="s">
        <v>130</v>
      </c>
      <c r="F44" s="5" t="s">
        <v>51</v>
      </c>
      <c r="G44" s="5" t="s">
        <v>52</v>
      </c>
      <c r="H44" s="5" t="n">
        <v>7</v>
      </c>
      <c r="I44" s="5" t="n">
        <v>7</v>
      </c>
      <c r="J44" s="5" t="n">
        <v>7</v>
      </c>
      <c r="K44" s="5" t="n">
        <v>6</v>
      </c>
      <c r="L44" s="5" t="n">
        <f aca="false">J44-K44</f>
        <v>1</v>
      </c>
      <c r="M44" s="11" t="n">
        <f aca="false">IF(J44=0,0,K44/J44)</f>
        <v>0.857142857142857</v>
      </c>
    </row>
    <row r="45" customFormat="false" ht="15" hidden="false" customHeight="false" outlineLevel="0" collapsed="false">
      <c r="A45" s="5" t="s">
        <v>150</v>
      </c>
      <c r="B45" s="5" t="s">
        <v>60</v>
      </c>
      <c r="C45" s="5" t="s">
        <v>48</v>
      </c>
      <c r="D45" s="5" t="s">
        <v>151</v>
      </c>
      <c r="E45" s="5" t="s">
        <v>56</v>
      </c>
      <c r="F45" s="5" t="s">
        <v>57</v>
      </c>
      <c r="G45" s="5" t="s">
        <v>58</v>
      </c>
      <c r="H45" s="5" t="n">
        <v>0</v>
      </c>
      <c r="I45" s="5" t="n">
        <v>0</v>
      </c>
      <c r="J45" s="5" t="n">
        <v>19</v>
      </c>
      <c r="K45" s="5" t="n">
        <v>15</v>
      </c>
      <c r="L45" s="5" t="n">
        <f aca="false">J45-K45</f>
        <v>4</v>
      </c>
      <c r="M45" s="11" t="n">
        <f aca="false">IF(J45=0,0,K45/J45)</f>
        <v>0.789473684210526</v>
      </c>
    </row>
    <row r="46" customFormat="false" ht="15" hidden="false" customHeight="false" outlineLevel="0" collapsed="false">
      <c r="A46" s="5" t="s">
        <v>152</v>
      </c>
      <c r="B46" s="5" t="s">
        <v>60</v>
      </c>
      <c r="C46" s="5" t="s">
        <v>48</v>
      </c>
      <c r="D46" s="5" t="s">
        <v>153</v>
      </c>
      <c r="E46" s="5" t="s">
        <v>130</v>
      </c>
      <c r="F46" s="5" t="s">
        <v>57</v>
      </c>
      <c r="G46" s="5" t="s">
        <v>58</v>
      </c>
      <c r="H46" s="5" t="n">
        <v>0</v>
      </c>
      <c r="I46" s="5" t="n">
        <v>0</v>
      </c>
      <c r="J46" s="5" t="n">
        <v>19</v>
      </c>
      <c r="K46" s="5" t="n">
        <v>14</v>
      </c>
      <c r="L46" s="5" t="n">
        <f aca="false">J46-K46</f>
        <v>5</v>
      </c>
      <c r="M46" s="11" t="n">
        <f aca="false">IF(J46=0,0,K46/J46)</f>
        <v>0.736842105263158</v>
      </c>
    </row>
    <row r="47" customFormat="false" ht="15" hidden="false" customHeight="false" outlineLevel="0" collapsed="false">
      <c r="A47" s="5" t="s">
        <v>154</v>
      </c>
      <c r="B47" s="5" t="s">
        <v>60</v>
      </c>
      <c r="C47" s="5" t="s">
        <v>48</v>
      </c>
      <c r="D47" s="5" t="s">
        <v>153</v>
      </c>
      <c r="E47" s="5" t="s">
        <v>62</v>
      </c>
      <c r="F47" s="5" t="s">
        <v>57</v>
      </c>
      <c r="G47" s="5" t="s">
        <v>58</v>
      </c>
      <c r="H47" s="5" t="n">
        <v>0</v>
      </c>
      <c r="I47" s="5" t="n">
        <v>0</v>
      </c>
      <c r="J47" s="5" t="n">
        <v>17</v>
      </c>
      <c r="K47" s="5" t="n">
        <v>10</v>
      </c>
      <c r="L47" s="5" t="n">
        <f aca="false">J47-K47</f>
        <v>7</v>
      </c>
      <c r="M47" s="11" t="n">
        <f aca="false">IF(J47=0,0,K47/J47)</f>
        <v>0.588235294117647</v>
      </c>
    </row>
    <row r="48" customFormat="false" ht="15" hidden="false" customHeight="false" outlineLevel="0" collapsed="false">
      <c r="A48" s="5" t="s">
        <v>155</v>
      </c>
      <c r="B48" s="5" t="s">
        <v>60</v>
      </c>
      <c r="C48" s="5" t="s">
        <v>48</v>
      </c>
      <c r="D48" s="5" t="s">
        <v>156</v>
      </c>
      <c r="E48" s="5" t="s">
        <v>130</v>
      </c>
      <c r="F48" s="5" t="s">
        <v>57</v>
      </c>
      <c r="G48" s="5" t="s">
        <v>58</v>
      </c>
      <c r="H48" s="5" t="n">
        <v>0</v>
      </c>
      <c r="I48" s="5" t="n">
        <v>0</v>
      </c>
      <c r="J48" s="5" t="n">
        <v>20</v>
      </c>
      <c r="K48" s="5" t="n">
        <v>18</v>
      </c>
      <c r="L48" s="5" t="n">
        <f aca="false">J48-K48</f>
        <v>2</v>
      </c>
      <c r="M48" s="11" t="n">
        <f aca="false">IF(J48=0,0,K48/J48)</f>
        <v>0.9</v>
      </c>
    </row>
    <row r="49" customFormat="false" ht="15" hidden="false" customHeight="false" outlineLevel="0" collapsed="false">
      <c r="A49" s="5" t="s">
        <v>157</v>
      </c>
      <c r="B49" s="5" t="s">
        <v>60</v>
      </c>
      <c r="C49" s="5" t="s">
        <v>48</v>
      </c>
      <c r="D49" s="5" t="s">
        <v>158</v>
      </c>
      <c r="E49" s="5" t="s">
        <v>64</v>
      </c>
      <c r="F49" s="5" t="s">
        <v>57</v>
      </c>
      <c r="G49" s="5" t="s">
        <v>58</v>
      </c>
      <c r="H49" s="5" t="n">
        <v>0</v>
      </c>
      <c r="I49" s="5" t="n">
        <v>0</v>
      </c>
      <c r="J49" s="5" t="n">
        <v>16</v>
      </c>
      <c r="K49" s="5" t="n">
        <v>15</v>
      </c>
      <c r="L49" s="5" t="n">
        <f aca="false">J49-K49</f>
        <v>1</v>
      </c>
      <c r="M49" s="11" t="n">
        <f aca="false">IF(J49=0,0,K49/J49)</f>
        <v>0.9375</v>
      </c>
    </row>
    <row r="50" customFormat="false" ht="15" hidden="false" customHeight="false" outlineLevel="0" collapsed="false">
      <c r="A50" s="5" t="s">
        <v>159</v>
      </c>
      <c r="B50" s="5" t="s">
        <v>60</v>
      </c>
      <c r="C50" s="5" t="s">
        <v>48</v>
      </c>
      <c r="D50" s="5" t="s">
        <v>160</v>
      </c>
      <c r="E50" s="5" t="s">
        <v>56</v>
      </c>
      <c r="F50" s="5" t="s">
        <v>57</v>
      </c>
      <c r="G50" s="5" t="s">
        <v>58</v>
      </c>
      <c r="H50" s="5" t="n">
        <v>0</v>
      </c>
      <c r="I50" s="5" t="n">
        <v>0</v>
      </c>
      <c r="J50" s="5" t="n">
        <v>19</v>
      </c>
      <c r="K50" s="5" t="n">
        <v>18</v>
      </c>
      <c r="L50" s="5" t="n">
        <f aca="false">J50-K50</f>
        <v>1</v>
      </c>
      <c r="M50" s="11" t="n">
        <f aca="false">IF(J50=0,0,K50/J50)</f>
        <v>0.947368421052632</v>
      </c>
    </row>
    <row r="51" customFormat="false" ht="15" hidden="false" customHeight="false" outlineLevel="0" collapsed="false">
      <c r="A51" s="5" t="s">
        <v>161</v>
      </c>
      <c r="B51" s="5" t="s">
        <v>60</v>
      </c>
      <c r="C51" s="5" t="s">
        <v>48</v>
      </c>
      <c r="D51" s="5" t="s">
        <v>162</v>
      </c>
      <c r="E51" s="5" t="s">
        <v>56</v>
      </c>
      <c r="F51" s="5" t="s">
        <v>57</v>
      </c>
      <c r="G51" s="5" t="s">
        <v>58</v>
      </c>
      <c r="H51" s="5" t="n">
        <v>0</v>
      </c>
      <c r="I51" s="5" t="n">
        <v>0</v>
      </c>
      <c r="J51" s="5" t="n">
        <v>12</v>
      </c>
      <c r="K51" s="5" t="n">
        <v>12</v>
      </c>
      <c r="L51" s="5" t="n">
        <f aca="false">J51-K51</f>
        <v>0</v>
      </c>
      <c r="M51" s="11" t="n">
        <f aca="false">IF(J51=0,0,K51/J51)</f>
        <v>1</v>
      </c>
    </row>
    <row r="52" customFormat="false" ht="15" hidden="false" customHeight="false" outlineLevel="0" collapsed="false">
      <c r="A52" s="5" t="s">
        <v>163</v>
      </c>
      <c r="B52" s="5" t="s">
        <v>60</v>
      </c>
      <c r="C52" s="5" t="s">
        <v>48</v>
      </c>
      <c r="D52" s="5" t="s">
        <v>164</v>
      </c>
      <c r="E52" s="5" t="s">
        <v>56</v>
      </c>
      <c r="F52" s="5" t="s">
        <v>57</v>
      </c>
      <c r="G52" s="5" t="s">
        <v>58</v>
      </c>
      <c r="H52" s="5" t="n">
        <v>0</v>
      </c>
      <c r="I52" s="5" t="n">
        <v>0</v>
      </c>
      <c r="J52" s="5" t="n">
        <v>23</v>
      </c>
      <c r="K52" s="5" t="n">
        <v>15</v>
      </c>
      <c r="L52" s="5" t="n">
        <f aca="false">J52-K52</f>
        <v>8</v>
      </c>
      <c r="M52" s="11" t="n">
        <f aca="false">IF(J52=0,0,K52/J52)</f>
        <v>0.652173913043478</v>
      </c>
    </row>
    <row r="53" customFormat="false" ht="15" hidden="false" customHeight="false" outlineLevel="0" collapsed="false">
      <c r="A53" s="5" t="s">
        <v>165</v>
      </c>
      <c r="B53" s="5" t="s">
        <v>60</v>
      </c>
      <c r="C53" s="5" t="s">
        <v>48</v>
      </c>
      <c r="D53" s="5" t="s">
        <v>164</v>
      </c>
      <c r="E53" s="5" t="s">
        <v>56</v>
      </c>
      <c r="F53" s="5" t="s">
        <v>57</v>
      </c>
      <c r="G53" s="5" t="s">
        <v>58</v>
      </c>
      <c r="H53" s="5" t="n">
        <v>0</v>
      </c>
      <c r="I53" s="5" t="n">
        <v>0</v>
      </c>
      <c r="J53" s="5" t="n">
        <v>17</v>
      </c>
      <c r="K53" s="5" t="n">
        <v>15</v>
      </c>
      <c r="L53" s="5" t="n">
        <f aca="false">J53-K53</f>
        <v>2</v>
      </c>
      <c r="M53" s="11" t="n">
        <f aca="false">IF(J53=0,0,K53/J53)</f>
        <v>0.882352941176471</v>
      </c>
    </row>
    <row r="54" customFormat="false" ht="15" hidden="false" customHeight="false" outlineLevel="0" collapsed="false">
      <c r="A54" s="5" t="s">
        <v>166</v>
      </c>
      <c r="B54" s="5" t="s">
        <v>60</v>
      </c>
      <c r="C54" s="5" t="s">
        <v>48</v>
      </c>
      <c r="D54" s="5" t="s">
        <v>167</v>
      </c>
      <c r="E54" s="5" t="s">
        <v>130</v>
      </c>
      <c r="F54" s="5" t="s">
        <v>57</v>
      </c>
      <c r="G54" s="5" t="s">
        <v>58</v>
      </c>
      <c r="H54" s="5" t="n">
        <v>0</v>
      </c>
      <c r="I54" s="5" t="n">
        <v>0</v>
      </c>
      <c r="J54" s="5" t="n">
        <v>23</v>
      </c>
      <c r="K54" s="5" t="n">
        <v>17</v>
      </c>
      <c r="L54" s="5" t="n">
        <f aca="false">J54-K54</f>
        <v>6</v>
      </c>
      <c r="M54" s="11" t="n">
        <f aca="false">IF(J54=0,0,K54/J54)</f>
        <v>0.739130434782609</v>
      </c>
    </row>
    <row r="55" customFormat="false" ht="15" hidden="false" customHeight="false" outlineLevel="0" collapsed="false">
      <c r="A55" s="5" t="s">
        <v>168</v>
      </c>
      <c r="B55" s="5" t="s">
        <v>60</v>
      </c>
      <c r="C55" s="5" t="s">
        <v>48</v>
      </c>
      <c r="D55" s="5" t="s">
        <v>169</v>
      </c>
      <c r="E55" s="5" t="s">
        <v>130</v>
      </c>
      <c r="F55" s="5" t="s">
        <v>57</v>
      </c>
      <c r="G55" s="5" t="s">
        <v>58</v>
      </c>
      <c r="H55" s="5" t="n">
        <v>0</v>
      </c>
      <c r="I55" s="5" t="n">
        <v>0</v>
      </c>
      <c r="J55" s="5" t="n">
        <v>24</v>
      </c>
      <c r="K55" s="5" t="n">
        <v>19</v>
      </c>
      <c r="L55" s="5" t="n">
        <f aca="false">J55-K55</f>
        <v>5</v>
      </c>
      <c r="M55" s="11" t="n">
        <f aca="false">IF(J55=0,0,K55/J55)</f>
        <v>0.791666666666667</v>
      </c>
    </row>
    <row r="56" customFormat="false" ht="15" hidden="false" customHeight="false" outlineLevel="0" collapsed="false">
      <c r="A56" s="5" t="s">
        <v>170</v>
      </c>
      <c r="B56" s="5" t="s">
        <v>60</v>
      </c>
      <c r="C56" s="5" t="s">
        <v>48</v>
      </c>
      <c r="D56" s="5" t="s">
        <v>171</v>
      </c>
      <c r="E56" s="5" t="s">
        <v>130</v>
      </c>
      <c r="F56" s="5" t="s">
        <v>57</v>
      </c>
      <c r="G56" s="5" t="s">
        <v>58</v>
      </c>
      <c r="H56" s="5" t="n">
        <v>0</v>
      </c>
      <c r="I56" s="5" t="n">
        <v>0</v>
      </c>
      <c r="J56" s="5" t="n">
        <v>19</v>
      </c>
      <c r="K56" s="5" t="n">
        <v>17</v>
      </c>
      <c r="L56" s="5" t="n">
        <f aca="false">J56-K56</f>
        <v>2</v>
      </c>
      <c r="M56" s="11" t="n">
        <f aca="false">IF(J56=0,0,K56/J56)</f>
        <v>0.894736842105263</v>
      </c>
    </row>
    <row r="57" customFormat="false" ht="15" hidden="false" customHeight="false" outlineLevel="0" collapsed="false">
      <c r="A57" s="5" t="s">
        <v>172</v>
      </c>
      <c r="B57" s="5" t="s">
        <v>47</v>
      </c>
      <c r="C57" s="5" t="s">
        <v>48</v>
      </c>
      <c r="D57" s="5" t="s">
        <v>173</v>
      </c>
      <c r="E57" s="5" t="s">
        <v>130</v>
      </c>
      <c r="F57" s="5" t="s">
        <v>51</v>
      </c>
      <c r="G57" s="5" t="s">
        <v>52</v>
      </c>
      <c r="H57" s="5" t="n">
        <v>7</v>
      </c>
      <c r="I57" s="5" t="n">
        <v>7</v>
      </c>
      <c r="J57" s="5" t="n">
        <v>7</v>
      </c>
      <c r="K57" s="5" t="n">
        <v>7</v>
      </c>
      <c r="L57" s="5" t="n">
        <f aca="false">J57-K57</f>
        <v>0</v>
      </c>
      <c r="M57" s="11" t="n">
        <f aca="false">IF(J57=0,0,K57/J57)</f>
        <v>1</v>
      </c>
    </row>
    <row r="58" customFormat="false" ht="15" hidden="false" customHeight="false" outlineLevel="0" collapsed="false">
      <c r="A58" s="5" t="s">
        <v>174</v>
      </c>
      <c r="B58" s="5" t="s">
        <v>60</v>
      </c>
      <c r="C58" s="5" t="s">
        <v>48</v>
      </c>
      <c r="D58" s="5" t="s">
        <v>124</v>
      </c>
      <c r="E58" s="5" t="s">
        <v>56</v>
      </c>
      <c r="F58" s="5" t="s">
        <v>57</v>
      </c>
      <c r="G58" s="5" t="s">
        <v>58</v>
      </c>
      <c r="H58" s="5" t="n">
        <v>0</v>
      </c>
      <c r="I58" s="5" t="n">
        <v>0</v>
      </c>
      <c r="J58" s="5" t="n">
        <v>15</v>
      </c>
      <c r="K58" s="5" t="n">
        <v>15</v>
      </c>
      <c r="L58" s="5" t="n">
        <f aca="false">J58-K58</f>
        <v>0</v>
      </c>
      <c r="M58" s="11" t="n">
        <f aca="false">IF(J58=0,0,K58/J58)</f>
        <v>1</v>
      </c>
    </row>
    <row r="59" customFormat="false" ht="15" hidden="false" customHeight="false" outlineLevel="0" collapsed="false">
      <c r="A59" s="5" t="s">
        <v>175</v>
      </c>
      <c r="B59" s="5" t="s">
        <v>60</v>
      </c>
      <c r="C59" s="5" t="s">
        <v>48</v>
      </c>
      <c r="D59" s="5" t="s">
        <v>124</v>
      </c>
      <c r="E59" s="5" t="s">
        <v>56</v>
      </c>
      <c r="F59" s="5" t="s">
        <v>57</v>
      </c>
      <c r="G59" s="5" t="s">
        <v>58</v>
      </c>
      <c r="H59" s="5" t="n">
        <v>0</v>
      </c>
      <c r="I59" s="5" t="n">
        <v>0</v>
      </c>
      <c r="J59" s="5" t="n">
        <v>14</v>
      </c>
      <c r="K59" s="5" t="n">
        <v>14</v>
      </c>
      <c r="L59" s="5" t="n">
        <f aca="false">J59-K59</f>
        <v>0</v>
      </c>
      <c r="M59" s="11" t="n">
        <f aca="false">IF(J59=0,0,K59/J59)</f>
        <v>1</v>
      </c>
    </row>
    <row r="60" customFormat="false" ht="15" hidden="false" customHeight="false" outlineLevel="0" collapsed="false">
      <c r="A60" s="5" t="s">
        <v>176</v>
      </c>
      <c r="B60" s="5" t="s">
        <v>60</v>
      </c>
      <c r="C60" s="5" t="s">
        <v>48</v>
      </c>
      <c r="D60" s="5" t="s">
        <v>124</v>
      </c>
      <c r="E60" s="5" t="s">
        <v>177</v>
      </c>
      <c r="F60" s="5" t="s">
        <v>57</v>
      </c>
      <c r="G60" s="5" t="s">
        <v>58</v>
      </c>
      <c r="H60" s="5" t="n">
        <v>0</v>
      </c>
      <c r="I60" s="5" t="n">
        <v>0</v>
      </c>
      <c r="J60" s="5" t="n">
        <v>19</v>
      </c>
      <c r="K60" s="5" t="n">
        <v>19</v>
      </c>
      <c r="L60" s="5" t="n">
        <f aca="false">J60-K60</f>
        <v>0</v>
      </c>
      <c r="M60" s="11" t="n">
        <f aca="false">IF(J60=0,0,K60/J60)</f>
        <v>1</v>
      </c>
    </row>
    <row r="61" customFormat="false" ht="15" hidden="false" customHeight="false" outlineLevel="0" collapsed="false">
      <c r="A61" s="5" t="s">
        <v>178</v>
      </c>
      <c r="B61" s="5" t="s">
        <v>47</v>
      </c>
      <c r="C61" s="5" t="s">
        <v>48</v>
      </c>
      <c r="D61" s="5" t="s">
        <v>179</v>
      </c>
      <c r="E61" s="5" t="s">
        <v>180</v>
      </c>
      <c r="F61" s="5" t="s">
        <v>51</v>
      </c>
      <c r="G61" s="5" t="s">
        <v>52</v>
      </c>
      <c r="H61" s="5" t="n">
        <v>7</v>
      </c>
      <c r="I61" s="5" t="n">
        <v>7</v>
      </c>
      <c r="J61" s="5" t="n">
        <v>7</v>
      </c>
      <c r="K61" s="5" t="n">
        <v>7</v>
      </c>
      <c r="L61" s="5" t="n">
        <f aca="false">J61-K61</f>
        <v>0</v>
      </c>
      <c r="M61" s="11" t="n">
        <f aca="false">IF(J61=0,0,K61/J61)</f>
        <v>1</v>
      </c>
    </row>
    <row r="62" customFormat="false" ht="15" hidden="false" customHeight="false" outlineLevel="0" collapsed="false">
      <c r="A62" s="5" t="s">
        <v>181</v>
      </c>
      <c r="B62" s="5" t="s">
        <v>60</v>
      </c>
      <c r="C62" s="5" t="s">
        <v>48</v>
      </c>
      <c r="D62" s="5" t="s">
        <v>182</v>
      </c>
      <c r="E62" s="5" t="s">
        <v>183</v>
      </c>
      <c r="F62" s="5" t="s">
        <v>57</v>
      </c>
      <c r="G62" s="5" t="s">
        <v>58</v>
      </c>
      <c r="H62" s="5" t="n">
        <v>0</v>
      </c>
      <c r="I62" s="5" t="n">
        <v>0</v>
      </c>
      <c r="J62" s="5" t="n">
        <v>25</v>
      </c>
      <c r="K62" s="5" t="n">
        <v>25</v>
      </c>
      <c r="L62" s="5" t="n">
        <f aca="false">J62-K62</f>
        <v>0</v>
      </c>
      <c r="M62" s="11" t="n">
        <f aca="false">IF(J62=0,0,K62/J62)</f>
        <v>1</v>
      </c>
    </row>
    <row r="63" customFormat="false" ht="15" hidden="false" customHeight="false" outlineLevel="0" collapsed="false">
      <c r="A63" s="5" t="s">
        <v>184</v>
      </c>
      <c r="B63" s="5" t="s">
        <v>60</v>
      </c>
      <c r="C63" s="5" t="s">
        <v>48</v>
      </c>
      <c r="D63" s="5" t="s">
        <v>185</v>
      </c>
      <c r="E63" s="5" t="s">
        <v>186</v>
      </c>
      <c r="F63" s="5" t="s">
        <v>57</v>
      </c>
      <c r="G63" s="5" t="s">
        <v>58</v>
      </c>
      <c r="H63" s="5" t="n">
        <v>0</v>
      </c>
      <c r="I63" s="5" t="n">
        <v>0</v>
      </c>
      <c r="J63" s="5" t="n">
        <v>29</v>
      </c>
      <c r="K63" s="5" t="n">
        <v>26</v>
      </c>
      <c r="L63" s="5" t="n">
        <f aca="false">J63-K63</f>
        <v>3</v>
      </c>
      <c r="M63" s="11" t="n">
        <f aca="false">IF(J63=0,0,K63/J63)</f>
        <v>0.896551724137931</v>
      </c>
    </row>
    <row r="64" customFormat="false" ht="15" hidden="false" customHeight="false" outlineLevel="0" collapsed="false">
      <c r="A64" s="5" t="s">
        <v>187</v>
      </c>
      <c r="B64" s="5" t="s">
        <v>60</v>
      </c>
      <c r="C64" s="5" t="s">
        <v>48</v>
      </c>
      <c r="D64" s="5" t="s">
        <v>188</v>
      </c>
      <c r="E64" s="5" t="s">
        <v>189</v>
      </c>
      <c r="F64" s="5" t="s">
        <v>57</v>
      </c>
      <c r="G64" s="5" t="s">
        <v>58</v>
      </c>
      <c r="H64" s="5" t="n">
        <v>0</v>
      </c>
      <c r="I64" s="5" t="n">
        <v>0</v>
      </c>
      <c r="J64" s="5" t="n">
        <v>20</v>
      </c>
      <c r="K64" s="5" t="n">
        <v>20</v>
      </c>
      <c r="L64" s="5" t="n">
        <f aca="false">J64-K64</f>
        <v>0</v>
      </c>
      <c r="M64" s="11" t="n">
        <f aca="false">IF(J64=0,0,K64/J64)</f>
        <v>1</v>
      </c>
    </row>
    <row r="65" customFormat="false" ht="15" hidden="false" customHeight="false" outlineLevel="0" collapsed="false">
      <c r="A65" s="5" t="s">
        <v>190</v>
      </c>
      <c r="B65" s="5" t="s">
        <v>60</v>
      </c>
      <c r="C65" s="5" t="s">
        <v>48</v>
      </c>
      <c r="D65" s="5" t="s">
        <v>191</v>
      </c>
      <c r="E65" s="5" t="s">
        <v>130</v>
      </c>
      <c r="F65" s="5" t="s">
        <v>57</v>
      </c>
      <c r="G65" s="5" t="s">
        <v>58</v>
      </c>
      <c r="H65" s="5" t="n">
        <v>0</v>
      </c>
      <c r="I65" s="5" t="n">
        <v>0</v>
      </c>
      <c r="J65" s="5" t="n">
        <v>17</v>
      </c>
      <c r="K65" s="5" t="n">
        <v>14</v>
      </c>
      <c r="L65" s="5" t="n">
        <f aca="false">J65-K65</f>
        <v>3</v>
      </c>
      <c r="M65" s="11" t="n">
        <f aca="false">IF(J65=0,0,K65/J65)</f>
        <v>0.823529411764706</v>
      </c>
    </row>
    <row r="66" customFormat="false" ht="15" hidden="false" customHeight="false" outlineLevel="0" collapsed="false">
      <c r="A66" s="5" t="s">
        <v>192</v>
      </c>
      <c r="B66" s="5" t="s">
        <v>60</v>
      </c>
      <c r="C66" s="5" t="s">
        <v>48</v>
      </c>
      <c r="D66" s="5" t="s">
        <v>193</v>
      </c>
      <c r="E66" s="5" t="s">
        <v>194</v>
      </c>
      <c r="F66" s="5" t="s">
        <v>57</v>
      </c>
      <c r="G66" s="5" t="s">
        <v>58</v>
      </c>
      <c r="H66" s="5" t="n">
        <v>0</v>
      </c>
      <c r="I66" s="5" t="n">
        <v>0</v>
      </c>
      <c r="J66" s="5" t="n">
        <v>13</v>
      </c>
      <c r="K66" s="5" t="n">
        <v>7</v>
      </c>
      <c r="L66" s="5" t="n">
        <f aca="false">J66-K66</f>
        <v>6</v>
      </c>
      <c r="M66" s="11" t="n">
        <f aca="false">IF(J66=0,0,K66/J66)</f>
        <v>0.538461538461538</v>
      </c>
    </row>
    <row r="67" customFormat="false" ht="15" hidden="false" customHeight="false" outlineLevel="0" collapsed="false">
      <c r="A67" s="5" t="s">
        <v>195</v>
      </c>
      <c r="B67" s="5" t="s">
        <v>47</v>
      </c>
      <c r="C67" s="5" t="s">
        <v>48</v>
      </c>
      <c r="D67" s="5" t="s">
        <v>196</v>
      </c>
      <c r="E67" s="5" t="s">
        <v>197</v>
      </c>
      <c r="F67" s="5" t="s">
        <v>51</v>
      </c>
      <c r="G67" s="5" t="s">
        <v>52</v>
      </c>
      <c r="H67" s="5" t="n">
        <v>7</v>
      </c>
      <c r="I67" s="5" t="n">
        <v>7</v>
      </c>
      <c r="J67" s="5" t="n">
        <v>7</v>
      </c>
      <c r="K67" s="5" t="n">
        <v>7</v>
      </c>
      <c r="L67" s="5" t="n">
        <f aca="false">J67-K67</f>
        <v>0</v>
      </c>
      <c r="M67" s="11" t="n">
        <f aca="false">IF(J67=0,0,K67/J67)</f>
        <v>1</v>
      </c>
    </row>
    <row r="68" customFormat="false" ht="15" hidden="false" customHeight="false" outlineLevel="0" collapsed="false">
      <c r="A68" s="5" t="s">
        <v>198</v>
      </c>
      <c r="B68" s="5" t="s">
        <v>60</v>
      </c>
      <c r="C68" s="5" t="s">
        <v>48</v>
      </c>
      <c r="D68" s="5" t="s">
        <v>197</v>
      </c>
      <c r="E68" s="5" t="s">
        <v>199</v>
      </c>
      <c r="F68" s="5" t="s">
        <v>57</v>
      </c>
      <c r="G68" s="5" t="s">
        <v>58</v>
      </c>
      <c r="H68" s="5" t="n">
        <v>0</v>
      </c>
      <c r="I68" s="5" t="n">
        <v>0</v>
      </c>
      <c r="J68" s="5" t="n">
        <v>22</v>
      </c>
      <c r="K68" s="5" t="n">
        <v>22</v>
      </c>
      <c r="L68" s="5" t="n">
        <f aca="false">J68-K68</f>
        <v>0</v>
      </c>
      <c r="M68" s="11" t="n">
        <f aca="false">IF(J68=0,0,K68/J68)</f>
        <v>1</v>
      </c>
    </row>
    <row r="69" customFormat="false" ht="15" hidden="false" customHeight="false" outlineLevel="0" collapsed="false">
      <c r="A69" s="5" t="s">
        <v>200</v>
      </c>
      <c r="B69" s="5" t="s">
        <v>60</v>
      </c>
      <c r="C69" s="5" t="s">
        <v>48</v>
      </c>
      <c r="D69" s="5" t="s">
        <v>201</v>
      </c>
      <c r="E69" s="5" t="s">
        <v>186</v>
      </c>
      <c r="F69" s="5" t="s">
        <v>57</v>
      </c>
      <c r="G69" s="5" t="s">
        <v>58</v>
      </c>
      <c r="H69" s="5" t="n">
        <v>0</v>
      </c>
      <c r="I69" s="5" t="n">
        <v>0</v>
      </c>
      <c r="J69" s="5" t="n">
        <v>27</v>
      </c>
      <c r="K69" s="5" t="n">
        <v>26</v>
      </c>
      <c r="L69" s="5" t="n">
        <f aca="false">J69-K69</f>
        <v>1</v>
      </c>
      <c r="M69" s="11" t="n">
        <f aca="false">IF(J69=0,0,K69/J69)</f>
        <v>0.962962962962963</v>
      </c>
    </row>
    <row r="70" customFormat="false" ht="15" hidden="false" customHeight="false" outlineLevel="0" collapsed="false">
      <c r="A70" s="5" t="s">
        <v>202</v>
      </c>
      <c r="B70" s="5" t="s">
        <v>60</v>
      </c>
      <c r="C70" s="5" t="s">
        <v>48</v>
      </c>
      <c r="D70" s="5" t="s">
        <v>203</v>
      </c>
      <c r="E70" s="5" t="s">
        <v>186</v>
      </c>
      <c r="F70" s="5" t="s">
        <v>57</v>
      </c>
      <c r="G70" s="5" t="s">
        <v>58</v>
      </c>
      <c r="H70" s="5" t="n">
        <v>0</v>
      </c>
      <c r="I70" s="5" t="n">
        <v>0</v>
      </c>
      <c r="J70" s="5" t="n">
        <v>30</v>
      </c>
      <c r="K70" s="5" t="n">
        <v>29</v>
      </c>
      <c r="L70" s="5" t="n">
        <f aca="false">J70-K70</f>
        <v>1</v>
      </c>
      <c r="M70" s="11" t="n">
        <f aca="false">IF(J70=0,0,K70/J70)</f>
        <v>0.966666666666667</v>
      </c>
    </row>
    <row r="71" customFormat="false" ht="15" hidden="false" customHeight="false" outlineLevel="0" collapsed="false">
      <c r="A71" s="5" t="s">
        <v>204</v>
      </c>
      <c r="B71" s="5" t="s">
        <v>47</v>
      </c>
      <c r="C71" s="5" t="s">
        <v>48</v>
      </c>
      <c r="D71" s="5" t="s">
        <v>205</v>
      </c>
      <c r="E71" s="5" t="s">
        <v>206</v>
      </c>
      <c r="F71" s="5" t="s">
        <v>51</v>
      </c>
      <c r="G71" s="5" t="s">
        <v>52</v>
      </c>
      <c r="H71" s="5" t="n">
        <v>6</v>
      </c>
      <c r="I71" s="5" t="n">
        <v>6</v>
      </c>
      <c r="J71" s="5" t="n">
        <v>7</v>
      </c>
      <c r="K71" s="5" t="n">
        <v>7</v>
      </c>
      <c r="L71" s="5" t="n">
        <f aca="false">J71-K71</f>
        <v>0</v>
      </c>
      <c r="M71" s="11" t="n">
        <f aca="false">IF(J71=0,0,K71/J71)</f>
        <v>1</v>
      </c>
    </row>
    <row r="72" customFormat="false" ht="15" hidden="false" customHeight="false" outlineLevel="0" collapsed="false">
      <c r="A72" s="5" t="s">
        <v>207</v>
      </c>
      <c r="B72" s="5" t="s">
        <v>60</v>
      </c>
      <c r="C72" s="5" t="s">
        <v>48</v>
      </c>
      <c r="D72" s="5" t="s">
        <v>205</v>
      </c>
      <c r="E72" s="5" t="s">
        <v>208</v>
      </c>
      <c r="F72" s="5" t="s">
        <v>57</v>
      </c>
      <c r="G72" s="5" t="s">
        <v>58</v>
      </c>
      <c r="H72" s="5" t="n">
        <v>0</v>
      </c>
      <c r="I72" s="5" t="n">
        <v>0</v>
      </c>
      <c r="J72" s="5" t="n">
        <v>26</v>
      </c>
      <c r="K72" s="5" t="n">
        <v>25</v>
      </c>
      <c r="L72" s="5" t="n">
        <f aca="false">J72-K72</f>
        <v>1</v>
      </c>
      <c r="M72" s="11" t="n">
        <f aca="false">IF(J72=0,0,K72/J72)</f>
        <v>0.961538461538462</v>
      </c>
    </row>
    <row r="73" customFormat="false" ht="15" hidden="false" customHeight="false" outlineLevel="0" collapsed="false">
      <c r="A73" s="5" t="s">
        <v>209</v>
      </c>
      <c r="B73" s="5" t="s">
        <v>60</v>
      </c>
      <c r="C73" s="5" t="s">
        <v>48</v>
      </c>
      <c r="D73" s="5" t="s">
        <v>210</v>
      </c>
      <c r="E73" s="5" t="s">
        <v>130</v>
      </c>
      <c r="F73" s="5" t="s">
        <v>57</v>
      </c>
      <c r="G73" s="5" t="s">
        <v>58</v>
      </c>
      <c r="H73" s="5" t="n">
        <v>0</v>
      </c>
      <c r="I73" s="5" t="n">
        <v>0</v>
      </c>
      <c r="J73" s="5" t="n">
        <v>21</v>
      </c>
      <c r="K73" s="5" t="n">
        <v>19</v>
      </c>
      <c r="L73" s="5" t="n">
        <f aca="false">J73-K73</f>
        <v>2</v>
      </c>
      <c r="M73" s="11" t="n">
        <f aca="false">IF(J73=0,0,K73/J73)</f>
        <v>0.904761904761905</v>
      </c>
    </row>
    <row r="74" customFormat="false" ht="15" hidden="false" customHeight="false" outlineLevel="0" collapsed="false">
      <c r="A74" s="5" t="s">
        <v>211</v>
      </c>
      <c r="B74" s="5" t="s">
        <v>60</v>
      </c>
      <c r="C74" s="5" t="s">
        <v>48</v>
      </c>
      <c r="D74" s="5" t="s">
        <v>96</v>
      </c>
      <c r="E74" s="5" t="s">
        <v>130</v>
      </c>
      <c r="F74" s="5" t="s">
        <v>57</v>
      </c>
      <c r="G74" s="5" t="s">
        <v>58</v>
      </c>
      <c r="H74" s="5" t="n">
        <v>0</v>
      </c>
      <c r="I74" s="5" t="n">
        <v>0</v>
      </c>
      <c r="J74" s="5" t="n">
        <v>14</v>
      </c>
      <c r="K74" s="5" t="n">
        <v>11</v>
      </c>
      <c r="L74" s="5" t="n">
        <f aca="false">J74-K74</f>
        <v>3</v>
      </c>
      <c r="M74" s="11" t="n">
        <f aca="false">IF(J74=0,0,K74/J74)</f>
        <v>0.785714285714286</v>
      </c>
    </row>
    <row r="75" customFormat="false" ht="15" hidden="false" customHeight="false" outlineLevel="0" collapsed="false">
      <c r="A75" s="5" t="s">
        <v>212</v>
      </c>
      <c r="B75" s="5" t="s">
        <v>60</v>
      </c>
      <c r="C75" s="5" t="s">
        <v>48</v>
      </c>
      <c r="D75" s="5" t="s">
        <v>213</v>
      </c>
      <c r="E75" s="5" t="s">
        <v>130</v>
      </c>
      <c r="F75" s="5" t="s">
        <v>57</v>
      </c>
      <c r="G75" s="5" t="s">
        <v>58</v>
      </c>
      <c r="H75" s="5" t="n">
        <v>0</v>
      </c>
      <c r="I75" s="5" t="n">
        <v>0</v>
      </c>
      <c r="J75" s="5" t="n">
        <v>21</v>
      </c>
      <c r="K75" s="5" t="n">
        <v>20</v>
      </c>
      <c r="L75" s="5" t="n">
        <f aca="false">J75-K75</f>
        <v>1</v>
      </c>
      <c r="M75" s="11" t="n">
        <f aca="false">IF(J75=0,0,K75/J75)</f>
        <v>0.952380952380952</v>
      </c>
    </row>
    <row r="76" customFormat="false" ht="15" hidden="false" customHeight="false" outlineLevel="0" collapsed="false">
      <c r="A76" s="5" t="s">
        <v>214</v>
      </c>
      <c r="B76" s="5" t="s">
        <v>60</v>
      </c>
      <c r="C76" s="5" t="s">
        <v>48</v>
      </c>
      <c r="D76" s="5" t="s">
        <v>215</v>
      </c>
      <c r="E76" s="5" t="s">
        <v>216</v>
      </c>
      <c r="F76" s="5" t="s">
        <v>57</v>
      </c>
      <c r="G76" s="5" t="s">
        <v>58</v>
      </c>
      <c r="H76" s="5" t="n">
        <v>0</v>
      </c>
      <c r="I76" s="5" t="n">
        <v>0</v>
      </c>
      <c r="J76" s="5" t="n">
        <v>15</v>
      </c>
      <c r="K76" s="5" t="n">
        <v>11</v>
      </c>
      <c r="L76" s="5" t="n">
        <f aca="false">J76-K76</f>
        <v>4</v>
      </c>
      <c r="M76" s="11" t="n">
        <f aca="false">IF(J76=0,0,K76/J76)</f>
        <v>0.733333333333333</v>
      </c>
    </row>
    <row r="77" customFormat="false" ht="15" hidden="false" customHeight="false" outlineLevel="0" collapsed="false">
      <c r="A77" s="5" t="s">
        <v>217</v>
      </c>
      <c r="B77" s="5" t="s">
        <v>60</v>
      </c>
      <c r="C77" s="5" t="s">
        <v>48</v>
      </c>
      <c r="D77" s="5" t="s">
        <v>218</v>
      </c>
      <c r="E77" s="5" t="s">
        <v>186</v>
      </c>
      <c r="F77" s="5" t="s">
        <v>57</v>
      </c>
      <c r="G77" s="5" t="s">
        <v>58</v>
      </c>
      <c r="H77" s="5" t="n">
        <v>0</v>
      </c>
      <c r="I77" s="5" t="n">
        <v>0</v>
      </c>
      <c r="J77" s="5" t="n">
        <v>22</v>
      </c>
      <c r="K77" s="5" t="n">
        <v>20</v>
      </c>
      <c r="L77" s="5" t="n">
        <f aca="false">J77-K77</f>
        <v>2</v>
      </c>
      <c r="M77" s="11" t="n">
        <f aca="false">IF(J77=0,0,K77/J77)</f>
        <v>0.909090909090909</v>
      </c>
    </row>
    <row r="78" customFormat="false" ht="15" hidden="false" customHeight="false" outlineLevel="0" collapsed="false">
      <c r="A78" s="5" t="s">
        <v>219</v>
      </c>
      <c r="B78" s="5" t="s">
        <v>60</v>
      </c>
      <c r="C78" s="5" t="s">
        <v>48</v>
      </c>
      <c r="D78" s="5" t="s">
        <v>218</v>
      </c>
      <c r="E78" s="5" t="s">
        <v>220</v>
      </c>
      <c r="F78" s="5" t="s">
        <v>57</v>
      </c>
      <c r="G78" s="5" t="s">
        <v>58</v>
      </c>
      <c r="H78" s="5" t="n">
        <v>0</v>
      </c>
      <c r="I78" s="5" t="n">
        <v>0</v>
      </c>
      <c r="J78" s="5" t="n">
        <v>25</v>
      </c>
      <c r="K78" s="5" t="n">
        <v>25</v>
      </c>
      <c r="L78" s="5" t="n">
        <f aca="false">J78-K78</f>
        <v>0</v>
      </c>
      <c r="M78" s="11" t="n">
        <f aca="false">IF(J78=0,0,K78/J78)</f>
        <v>1</v>
      </c>
    </row>
    <row r="79" customFormat="false" ht="15" hidden="false" customHeight="false" outlineLevel="0" collapsed="false">
      <c r="A79" s="5" t="s">
        <v>221</v>
      </c>
      <c r="B79" s="5" t="s">
        <v>60</v>
      </c>
      <c r="C79" s="5" t="s">
        <v>48</v>
      </c>
      <c r="D79" s="5" t="s">
        <v>222</v>
      </c>
      <c r="E79" s="5" t="s">
        <v>64</v>
      </c>
      <c r="F79" s="5" t="s">
        <v>57</v>
      </c>
      <c r="G79" s="5" t="s">
        <v>58</v>
      </c>
      <c r="H79" s="5" t="n">
        <v>0</v>
      </c>
      <c r="I79" s="5" t="n">
        <v>0</v>
      </c>
      <c r="J79" s="5" t="n">
        <v>13</v>
      </c>
      <c r="K79" s="5" t="n">
        <v>9</v>
      </c>
      <c r="L79" s="5" t="n">
        <f aca="false">J79-K79</f>
        <v>4</v>
      </c>
      <c r="M79" s="11" t="n">
        <f aca="false">IF(J79=0,0,K79/J79)</f>
        <v>0.692307692307692</v>
      </c>
    </row>
    <row r="80" customFormat="false" ht="15" hidden="false" customHeight="false" outlineLevel="0" collapsed="false">
      <c r="A80" s="5" t="s">
        <v>223</v>
      </c>
      <c r="B80" s="5" t="s">
        <v>60</v>
      </c>
      <c r="C80" s="5" t="s">
        <v>48</v>
      </c>
      <c r="D80" s="5" t="s">
        <v>224</v>
      </c>
      <c r="E80" s="5" t="s">
        <v>64</v>
      </c>
      <c r="F80" s="5" t="s">
        <v>57</v>
      </c>
      <c r="G80" s="5" t="s">
        <v>58</v>
      </c>
      <c r="H80" s="5" t="n">
        <v>0</v>
      </c>
      <c r="I80" s="5" t="n">
        <v>0</v>
      </c>
      <c r="J80" s="5" t="n">
        <v>10</v>
      </c>
      <c r="K80" s="5" t="n">
        <v>9</v>
      </c>
      <c r="L80" s="5" t="n">
        <f aca="false">J80-K80</f>
        <v>1</v>
      </c>
      <c r="M80" s="11" t="n">
        <f aca="false">IF(J80=0,0,K80/J80)</f>
        <v>0.9</v>
      </c>
    </row>
    <row r="81" customFormat="false" ht="15" hidden="false" customHeight="false" outlineLevel="0" collapsed="false">
      <c r="A81" s="5" t="s">
        <v>225</v>
      </c>
      <c r="B81" s="5" t="s">
        <v>47</v>
      </c>
      <c r="C81" s="5" t="s">
        <v>48</v>
      </c>
      <c r="D81" s="5" t="s">
        <v>216</v>
      </c>
      <c r="E81" s="5" t="s">
        <v>215</v>
      </c>
      <c r="F81" s="5" t="s">
        <v>51</v>
      </c>
      <c r="G81" s="5" t="s">
        <v>52</v>
      </c>
      <c r="H81" s="5" t="n">
        <v>7</v>
      </c>
      <c r="I81" s="5" t="n">
        <v>7</v>
      </c>
      <c r="J81" s="5" t="n">
        <v>7</v>
      </c>
      <c r="K81" s="5" t="n">
        <v>5</v>
      </c>
      <c r="L81" s="5" t="n">
        <f aca="false">J81-K81</f>
        <v>2</v>
      </c>
      <c r="M81" s="11" t="n">
        <f aca="false">IF(J81=0,0,K81/J81)</f>
        <v>0.714285714285714</v>
      </c>
    </row>
    <row r="82" customFormat="false" ht="15" hidden="false" customHeight="false" outlineLevel="0" collapsed="false">
      <c r="A82" s="5" t="s">
        <v>226</v>
      </c>
      <c r="B82" s="5" t="s">
        <v>60</v>
      </c>
      <c r="C82" s="5" t="s">
        <v>48</v>
      </c>
      <c r="D82" s="5" t="s">
        <v>50</v>
      </c>
      <c r="E82" s="5" t="s">
        <v>227</v>
      </c>
      <c r="F82" s="5" t="s">
        <v>57</v>
      </c>
      <c r="G82" s="5" t="s">
        <v>58</v>
      </c>
      <c r="H82" s="5" t="n">
        <v>0</v>
      </c>
      <c r="I82" s="5" t="n">
        <v>0</v>
      </c>
      <c r="J82" s="5" t="n">
        <v>18</v>
      </c>
      <c r="K82" s="5" t="n">
        <v>16</v>
      </c>
      <c r="L82" s="5" t="n">
        <f aca="false">J82-K82</f>
        <v>2</v>
      </c>
      <c r="M82" s="11" t="n">
        <f aca="false">IF(J82=0,0,K82/J82)</f>
        <v>0.888888888888889</v>
      </c>
    </row>
    <row r="83" customFormat="false" ht="15" hidden="false" customHeight="false" outlineLevel="0" collapsed="false">
      <c r="A83" s="5" t="s">
        <v>228</v>
      </c>
      <c r="B83" s="5" t="s">
        <v>60</v>
      </c>
      <c r="C83" s="5" t="s">
        <v>48</v>
      </c>
      <c r="D83" s="5" t="s">
        <v>87</v>
      </c>
      <c r="E83" s="5" t="s">
        <v>56</v>
      </c>
      <c r="F83" s="5" t="s">
        <v>57</v>
      </c>
      <c r="G83" s="5" t="s">
        <v>58</v>
      </c>
      <c r="H83" s="5" t="n">
        <v>0</v>
      </c>
      <c r="I83" s="5" t="n">
        <v>0</v>
      </c>
      <c r="J83" s="5" t="n">
        <v>5</v>
      </c>
      <c r="K83" s="5" t="n">
        <v>5</v>
      </c>
      <c r="L83" s="5" t="n">
        <f aca="false">J83-K83</f>
        <v>0</v>
      </c>
      <c r="M83" s="11" t="n">
        <f aca="false">IF(J83=0,0,K83/J83)</f>
        <v>1</v>
      </c>
    </row>
    <row r="84" customFormat="false" ht="15" hidden="false" customHeight="false" outlineLevel="0" collapsed="false">
      <c r="A84" s="5" t="s">
        <v>229</v>
      </c>
      <c r="B84" s="5" t="s">
        <v>60</v>
      </c>
      <c r="C84" s="5" t="s">
        <v>48</v>
      </c>
      <c r="D84" s="5" t="s">
        <v>230</v>
      </c>
      <c r="E84" s="5" t="s">
        <v>56</v>
      </c>
      <c r="F84" s="5" t="s">
        <v>57</v>
      </c>
      <c r="G84" s="5" t="s">
        <v>58</v>
      </c>
      <c r="H84" s="5" t="n">
        <v>0</v>
      </c>
      <c r="I84" s="5" t="n">
        <v>0</v>
      </c>
      <c r="J84" s="5" t="n">
        <v>20</v>
      </c>
      <c r="K84" s="5" t="n">
        <v>13</v>
      </c>
      <c r="L84" s="5" t="n">
        <f aca="false">J84-K84</f>
        <v>7</v>
      </c>
      <c r="M84" s="11" t="n">
        <f aca="false">IF(J84=0,0,K84/J84)</f>
        <v>0.65</v>
      </c>
    </row>
    <row r="85" customFormat="false" ht="15" hidden="false" customHeight="false" outlineLevel="0" collapsed="false">
      <c r="A85" s="5" t="s">
        <v>231</v>
      </c>
      <c r="B85" s="5" t="s">
        <v>60</v>
      </c>
      <c r="C85" s="5" t="s">
        <v>48</v>
      </c>
      <c r="D85" s="5" t="s">
        <v>232</v>
      </c>
      <c r="E85" s="5" t="s">
        <v>197</v>
      </c>
      <c r="F85" s="5" t="s">
        <v>57</v>
      </c>
      <c r="G85" s="5" t="s">
        <v>58</v>
      </c>
      <c r="H85" s="5" t="n">
        <v>0</v>
      </c>
      <c r="I85" s="5" t="n">
        <v>0</v>
      </c>
      <c r="J85" s="5" t="n">
        <v>26</v>
      </c>
      <c r="K85" s="5" t="n">
        <v>24</v>
      </c>
      <c r="L85" s="5" t="n">
        <f aca="false">J85-K85</f>
        <v>2</v>
      </c>
      <c r="M85" s="11" t="n">
        <f aca="false">IF(J85=0,0,K85/J85)</f>
        <v>0.923076923076923</v>
      </c>
    </row>
    <row r="86" customFormat="false" ht="15" hidden="false" customHeight="false" outlineLevel="0" collapsed="false">
      <c r="A86" s="5" t="s">
        <v>233</v>
      </c>
      <c r="B86" s="5" t="s">
        <v>60</v>
      </c>
      <c r="C86" s="5" t="s">
        <v>48</v>
      </c>
      <c r="D86" s="5" t="s">
        <v>87</v>
      </c>
      <c r="E86" s="5" t="s">
        <v>56</v>
      </c>
      <c r="F86" s="5" t="s">
        <v>57</v>
      </c>
      <c r="G86" s="5" t="s">
        <v>58</v>
      </c>
      <c r="H86" s="5" t="n">
        <v>0</v>
      </c>
      <c r="I86" s="5" t="n">
        <v>0</v>
      </c>
      <c r="J86" s="5" t="n">
        <v>5</v>
      </c>
      <c r="K86" s="5" t="n">
        <v>5</v>
      </c>
      <c r="L86" s="5" t="n">
        <f aca="false">J86-K86</f>
        <v>0</v>
      </c>
      <c r="M86" s="11" t="n">
        <f aca="false">IF(J86=0,0,K86/J86)</f>
        <v>1</v>
      </c>
    </row>
    <row r="87" customFormat="false" ht="15" hidden="false" customHeight="false" outlineLevel="0" collapsed="false">
      <c r="A87" s="5" t="s">
        <v>234</v>
      </c>
      <c r="B87" s="5" t="s">
        <v>47</v>
      </c>
      <c r="C87" s="5" t="s">
        <v>48</v>
      </c>
      <c r="D87" s="5" t="s">
        <v>235</v>
      </c>
      <c r="E87" s="5" t="s">
        <v>236</v>
      </c>
      <c r="F87" s="5" t="s">
        <v>51</v>
      </c>
      <c r="G87" s="5" t="s">
        <v>52</v>
      </c>
      <c r="H87" s="5" t="n">
        <v>7</v>
      </c>
      <c r="I87" s="5" t="n">
        <v>7</v>
      </c>
      <c r="J87" s="5" t="n">
        <v>7</v>
      </c>
      <c r="K87" s="5" t="n">
        <v>7</v>
      </c>
      <c r="L87" s="5" t="n">
        <f aca="false">J87-K87</f>
        <v>0</v>
      </c>
      <c r="M87" s="11" t="n">
        <f aca="false">IF(J87=0,0,K87/J87)</f>
        <v>1</v>
      </c>
    </row>
    <row r="88" customFormat="false" ht="15" hidden="false" customHeight="false" outlineLevel="0" collapsed="false">
      <c r="A88" s="5" t="s">
        <v>237</v>
      </c>
      <c r="B88" s="5" t="s">
        <v>54</v>
      </c>
      <c r="C88" s="5" t="s">
        <v>48</v>
      </c>
      <c r="D88" s="5" t="s">
        <v>238</v>
      </c>
      <c r="E88" s="5" t="s">
        <v>87</v>
      </c>
      <c r="F88" s="5" t="s">
        <v>57</v>
      </c>
      <c r="G88" s="5" t="s">
        <v>58</v>
      </c>
      <c r="H88" s="5" t="n">
        <v>0</v>
      </c>
      <c r="I88" s="5" t="n">
        <v>0</v>
      </c>
      <c r="J88" s="5" t="n">
        <v>10</v>
      </c>
      <c r="K88" s="5" t="n">
        <v>9</v>
      </c>
      <c r="L88" s="5" t="n">
        <f aca="false">J88-K88</f>
        <v>1</v>
      </c>
      <c r="M88" s="11" t="n">
        <f aca="false">IF(J88=0,0,K88/J88)</f>
        <v>0.9</v>
      </c>
    </row>
    <row r="89" customFormat="false" ht="15" hidden="false" customHeight="false" outlineLevel="0" collapsed="false">
      <c r="A89" s="5" t="s">
        <v>239</v>
      </c>
      <c r="B89" s="5" t="s">
        <v>60</v>
      </c>
      <c r="C89" s="5" t="s">
        <v>48</v>
      </c>
      <c r="D89" s="5" t="s">
        <v>240</v>
      </c>
      <c r="E89" s="5" t="s">
        <v>64</v>
      </c>
      <c r="F89" s="5" t="s">
        <v>57</v>
      </c>
      <c r="G89" s="5" t="s">
        <v>58</v>
      </c>
      <c r="H89" s="5" t="n">
        <v>0</v>
      </c>
      <c r="I89" s="5" t="n">
        <v>0</v>
      </c>
      <c r="J89" s="5" t="n">
        <v>10</v>
      </c>
      <c r="K89" s="5" t="n">
        <v>10</v>
      </c>
      <c r="L89" s="5" t="n">
        <f aca="false">J89-K89</f>
        <v>0</v>
      </c>
      <c r="M89" s="11" t="n">
        <f aca="false">IF(J89=0,0,K89/J89)</f>
        <v>1</v>
      </c>
    </row>
    <row r="90" customFormat="false" ht="15" hidden="false" customHeight="false" outlineLevel="0" collapsed="false">
      <c r="A90" s="5" t="s">
        <v>241</v>
      </c>
      <c r="B90" s="5" t="s">
        <v>60</v>
      </c>
      <c r="C90" s="5" t="s">
        <v>48</v>
      </c>
      <c r="D90" s="5" t="s">
        <v>242</v>
      </c>
      <c r="E90" s="5" t="s">
        <v>130</v>
      </c>
      <c r="F90" s="5" t="s">
        <v>57</v>
      </c>
      <c r="G90" s="5" t="s">
        <v>58</v>
      </c>
      <c r="H90" s="5" t="n">
        <v>0</v>
      </c>
      <c r="I90" s="5" t="n">
        <v>0</v>
      </c>
      <c r="J90" s="5" t="n">
        <v>21</v>
      </c>
      <c r="K90" s="5" t="n">
        <v>18</v>
      </c>
      <c r="L90" s="5" t="n">
        <f aca="false">J90-K90</f>
        <v>3</v>
      </c>
      <c r="M90" s="11" t="n">
        <f aca="false">IF(J90=0,0,K90/J90)</f>
        <v>0.857142857142857</v>
      </c>
    </row>
    <row r="91" customFormat="false" ht="15" hidden="false" customHeight="false" outlineLevel="0" collapsed="false">
      <c r="A91" s="5" t="s">
        <v>243</v>
      </c>
      <c r="B91" s="5" t="s">
        <v>47</v>
      </c>
      <c r="C91" s="5" t="s">
        <v>48</v>
      </c>
      <c r="D91" s="5" t="s">
        <v>244</v>
      </c>
      <c r="E91" s="5" t="s">
        <v>130</v>
      </c>
      <c r="F91" s="5" t="s">
        <v>51</v>
      </c>
      <c r="G91" s="5" t="s">
        <v>52</v>
      </c>
      <c r="H91" s="5" t="n">
        <v>7</v>
      </c>
      <c r="I91" s="5" t="n">
        <v>7</v>
      </c>
      <c r="J91" s="5" t="n">
        <v>7</v>
      </c>
      <c r="K91" s="5" t="n">
        <v>7</v>
      </c>
      <c r="L91" s="5" t="n">
        <f aca="false">J91-K91</f>
        <v>0</v>
      </c>
      <c r="M91" s="11" t="n">
        <f aca="false">IF(J91=0,0,K91/J91)</f>
        <v>1</v>
      </c>
    </row>
    <row r="92" customFormat="false" ht="15" hidden="false" customHeight="false" outlineLevel="0" collapsed="false">
      <c r="A92" s="5" t="s">
        <v>245</v>
      </c>
      <c r="B92" s="5" t="s">
        <v>60</v>
      </c>
      <c r="C92" s="5" t="s">
        <v>48</v>
      </c>
      <c r="D92" s="5" t="s">
        <v>244</v>
      </c>
      <c r="E92" s="5" t="s">
        <v>130</v>
      </c>
      <c r="F92" s="5" t="s">
        <v>57</v>
      </c>
      <c r="G92" s="5" t="s">
        <v>58</v>
      </c>
      <c r="H92" s="5" t="n">
        <v>0</v>
      </c>
      <c r="I92" s="5" t="n">
        <v>0</v>
      </c>
      <c r="J92" s="5" t="n">
        <v>19</v>
      </c>
      <c r="K92" s="5" t="n">
        <v>17</v>
      </c>
      <c r="L92" s="5" t="n">
        <f aca="false">J92-K92</f>
        <v>2</v>
      </c>
      <c r="M92" s="11" t="n">
        <f aca="false">IF(J92=0,0,K92/J92)</f>
        <v>0.894736842105263</v>
      </c>
    </row>
    <row r="93" customFormat="false" ht="15" hidden="false" customHeight="false" outlineLevel="0" collapsed="false">
      <c r="A93" s="5" t="s">
        <v>246</v>
      </c>
      <c r="B93" s="5" t="s">
        <v>60</v>
      </c>
      <c r="C93" s="5" t="s">
        <v>48</v>
      </c>
      <c r="D93" s="5" t="s">
        <v>247</v>
      </c>
      <c r="E93" s="5" t="s">
        <v>130</v>
      </c>
      <c r="F93" s="5" t="s">
        <v>57</v>
      </c>
      <c r="G93" s="5" t="s">
        <v>58</v>
      </c>
      <c r="H93" s="5" t="n">
        <v>0</v>
      </c>
      <c r="I93" s="5" t="n">
        <v>0</v>
      </c>
      <c r="J93" s="5" t="n">
        <v>19</v>
      </c>
      <c r="K93" s="5" t="n">
        <v>18</v>
      </c>
      <c r="L93" s="5" t="n">
        <f aca="false">J93-K93</f>
        <v>1</v>
      </c>
      <c r="M93" s="11" t="n">
        <f aca="false">IF(J93=0,0,K93/J93)</f>
        <v>0.947368421052632</v>
      </c>
    </row>
    <row r="94" customFormat="false" ht="15" hidden="false" customHeight="false" outlineLevel="0" collapsed="false">
      <c r="A94" s="5" t="s">
        <v>248</v>
      </c>
      <c r="B94" s="5" t="s">
        <v>47</v>
      </c>
      <c r="C94" s="5" t="s">
        <v>48</v>
      </c>
      <c r="D94" s="5" t="s">
        <v>249</v>
      </c>
      <c r="E94" s="5" t="s">
        <v>206</v>
      </c>
      <c r="F94" s="5" t="s">
        <v>51</v>
      </c>
      <c r="G94" s="5" t="s">
        <v>52</v>
      </c>
      <c r="H94" s="5" t="n">
        <v>7</v>
      </c>
      <c r="I94" s="5" t="n">
        <v>7</v>
      </c>
      <c r="J94" s="5" t="n">
        <v>7</v>
      </c>
      <c r="K94" s="5" t="n">
        <v>7</v>
      </c>
      <c r="L94" s="5" t="n">
        <f aca="false">J94-K94</f>
        <v>0</v>
      </c>
      <c r="M94" s="11" t="n">
        <f aca="false">IF(J94=0,0,K94/J94)</f>
        <v>1</v>
      </c>
    </row>
    <row r="95" customFormat="false" ht="15" hidden="false" customHeight="false" outlineLevel="0" collapsed="false">
      <c r="A95" s="5" t="s">
        <v>250</v>
      </c>
      <c r="B95" s="5" t="s">
        <v>60</v>
      </c>
      <c r="C95" s="5" t="s">
        <v>48</v>
      </c>
      <c r="D95" s="5" t="s">
        <v>249</v>
      </c>
      <c r="E95" s="5" t="s">
        <v>164</v>
      </c>
      <c r="F95" s="5" t="s">
        <v>57</v>
      </c>
      <c r="G95" s="5" t="s">
        <v>58</v>
      </c>
      <c r="H95" s="5" t="n">
        <v>0</v>
      </c>
      <c r="I95" s="5" t="n">
        <v>0</v>
      </c>
      <c r="J95" s="5" t="n">
        <v>20</v>
      </c>
      <c r="K95" s="5" t="n">
        <v>15</v>
      </c>
      <c r="L95" s="5" t="n">
        <f aca="false">J95-K95</f>
        <v>5</v>
      </c>
      <c r="M95" s="11" t="n">
        <f aca="false">IF(J95=0,0,K95/J95)</f>
        <v>0.75</v>
      </c>
    </row>
    <row r="96" customFormat="false" ht="15" hidden="false" customHeight="false" outlineLevel="0" collapsed="false">
      <c r="A96" s="5" t="s">
        <v>251</v>
      </c>
      <c r="B96" s="5" t="s">
        <v>54</v>
      </c>
      <c r="C96" s="5" t="s">
        <v>48</v>
      </c>
      <c r="D96" s="5" t="s">
        <v>102</v>
      </c>
      <c r="E96" s="5" t="s">
        <v>252</v>
      </c>
      <c r="F96" s="5" t="s">
        <v>57</v>
      </c>
      <c r="G96" s="5" t="s">
        <v>58</v>
      </c>
      <c r="H96" s="5" t="n">
        <v>0</v>
      </c>
      <c r="I96" s="5" t="n">
        <v>0</v>
      </c>
      <c r="J96" s="5" t="n">
        <v>13</v>
      </c>
      <c r="K96" s="5" t="n">
        <v>10</v>
      </c>
      <c r="L96" s="5" t="n">
        <f aca="false">J96-K96</f>
        <v>3</v>
      </c>
      <c r="M96" s="11" t="n">
        <f aca="false">IF(J96=0,0,K96/J96)</f>
        <v>0.769230769230769</v>
      </c>
    </row>
    <row r="97" customFormat="false" ht="15" hidden="false" customHeight="false" outlineLevel="0" collapsed="false">
      <c r="A97" s="5" t="s">
        <v>253</v>
      </c>
      <c r="B97" s="5" t="s">
        <v>60</v>
      </c>
      <c r="C97" s="5" t="s">
        <v>48</v>
      </c>
      <c r="D97" s="5" t="s">
        <v>183</v>
      </c>
      <c r="E97" s="5" t="s">
        <v>64</v>
      </c>
      <c r="F97" s="5" t="s">
        <v>57</v>
      </c>
      <c r="G97" s="5" t="s">
        <v>58</v>
      </c>
      <c r="H97" s="5" t="n">
        <v>0</v>
      </c>
      <c r="I97" s="5" t="n">
        <v>0</v>
      </c>
      <c r="J97" s="5" t="n">
        <v>16</v>
      </c>
      <c r="K97" s="5" t="n">
        <v>15</v>
      </c>
      <c r="L97" s="5" t="n">
        <f aca="false">J97-K97</f>
        <v>1</v>
      </c>
      <c r="M97" s="11" t="n">
        <f aca="false">IF(J97=0,0,K97/J97)</f>
        <v>0.9375</v>
      </c>
    </row>
    <row r="98" customFormat="false" ht="15" hidden="false" customHeight="false" outlineLevel="0" collapsed="false">
      <c r="A98" s="5" t="s">
        <v>254</v>
      </c>
      <c r="B98" s="5" t="s">
        <v>71</v>
      </c>
      <c r="C98" s="5" t="s">
        <v>48</v>
      </c>
      <c r="D98" s="5" t="s">
        <v>183</v>
      </c>
      <c r="E98" s="5" t="s">
        <v>56</v>
      </c>
      <c r="F98" s="5" t="s">
        <v>51</v>
      </c>
      <c r="G98" s="5" t="s">
        <v>52</v>
      </c>
      <c r="H98" s="5" t="n">
        <v>8</v>
      </c>
      <c r="I98" s="5" t="n">
        <v>8</v>
      </c>
      <c r="J98" s="5" t="n">
        <v>7</v>
      </c>
      <c r="K98" s="5" t="n">
        <v>7</v>
      </c>
      <c r="L98" s="5" t="n">
        <f aca="false">J98-K98</f>
        <v>0</v>
      </c>
      <c r="M98" s="11" t="n">
        <f aca="false">IF(J98=0,0,K98/J98)</f>
        <v>1</v>
      </c>
    </row>
    <row r="99" customFormat="false" ht="15" hidden="false" customHeight="false" outlineLevel="0" collapsed="false">
      <c r="A99" s="5" t="s">
        <v>255</v>
      </c>
      <c r="B99" s="5" t="s">
        <v>60</v>
      </c>
      <c r="C99" s="5" t="s">
        <v>48</v>
      </c>
      <c r="D99" s="5" t="s">
        <v>256</v>
      </c>
      <c r="E99" s="5" t="s">
        <v>64</v>
      </c>
      <c r="F99" s="5" t="s">
        <v>57</v>
      </c>
      <c r="G99" s="5" t="s">
        <v>58</v>
      </c>
      <c r="H99" s="5" t="n">
        <v>0</v>
      </c>
      <c r="I99" s="5" t="n">
        <v>0</v>
      </c>
      <c r="J99" s="5" t="n">
        <v>13</v>
      </c>
      <c r="K99" s="5" t="n">
        <v>13</v>
      </c>
      <c r="L99" s="5" t="n">
        <f aca="false">J99-K99</f>
        <v>0</v>
      </c>
      <c r="M99" s="11" t="n">
        <f aca="false">IF(J99=0,0,K99/J99)</f>
        <v>1</v>
      </c>
    </row>
    <row r="100" customFormat="false" ht="15" hidden="false" customHeight="false" outlineLevel="0" collapsed="false">
      <c r="A100" s="5" t="s">
        <v>257</v>
      </c>
      <c r="B100" s="5" t="s">
        <v>60</v>
      </c>
      <c r="C100" s="5" t="s">
        <v>48</v>
      </c>
      <c r="D100" s="5" t="s">
        <v>258</v>
      </c>
      <c r="E100" s="5" t="s">
        <v>56</v>
      </c>
      <c r="F100" s="5" t="s">
        <v>57</v>
      </c>
      <c r="G100" s="5" t="s">
        <v>58</v>
      </c>
      <c r="H100" s="5" t="n">
        <v>0</v>
      </c>
      <c r="I100" s="5" t="n">
        <v>0</v>
      </c>
      <c r="J100" s="5" t="n">
        <v>19</v>
      </c>
      <c r="K100" s="5" t="n">
        <v>18</v>
      </c>
      <c r="L100" s="5" t="n">
        <f aca="false">J100-K100</f>
        <v>1</v>
      </c>
      <c r="M100" s="11" t="n">
        <f aca="false">IF(J100=0,0,K100/J100)</f>
        <v>0.947368421052632</v>
      </c>
    </row>
    <row r="101" customFormat="false" ht="15" hidden="false" customHeight="false" outlineLevel="0" collapsed="false">
      <c r="A101" s="5" t="s">
        <v>259</v>
      </c>
      <c r="B101" s="5" t="s">
        <v>60</v>
      </c>
      <c r="C101" s="5" t="s">
        <v>48</v>
      </c>
      <c r="D101" s="5" t="s">
        <v>258</v>
      </c>
      <c r="E101" s="5" t="s">
        <v>56</v>
      </c>
      <c r="F101" s="5" t="s">
        <v>57</v>
      </c>
      <c r="G101" s="5" t="s">
        <v>58</v>
      </c>
      <c r="H101" s="5" t="n">
        <v>0</v>
      </c>
      <c r="I101" s="5" t="n">
        <v>0</v>
      </c>
      <c r="J101" s="5" t="n">
        <v>15</v>
      </c>
      <c r="K101" s="5" t="n">
        <v>15</v>
      </c>
      <c r="L101" s="5" t="n">
        <f aca="false">J101-K101</f>
        <v>0</v>
      </c>
      <c r="M101" s="11" t="n">
        <f aca="false">IF(J101=0,0,K101/J101)</f>
        <v>1</v>
      </c>
    </row>
    <row r="102" customFormat="false" ht="15" hidden="false" customHeight="false" outlineLevel="0" collapsed="false">
      <c r="A102" s="5" t="s">
        <v>260</v>
      </c>
      <c r="B102" s="5" t="s">
        <v>60</v>
      </c>
      <c r="C102" s="5" t="s">
        <v>48</v>
      </c>
      <c r="D102" s="5" t="s">
        <v>261</v>
      </c>
      <c r="E102" s="5" t="s">
        <v>262</v>
      </c>
      <c r="F102" s="5" t="s">
        <v>57</v>
      </c>
      <c r="G102" s="5" t="s">
        <v>58</v>
      </c>
      <c r="H102" s="5" t="n">
        <v>0</v>
      </c>
      <c r="I102" s="5" t="n">
        <v>0</v>
      </c>
      <c r="J102" s="5" t="n">
        <v>13</v>
      </c>
      <c r="K102" s="5" t="n">
        <v>9</v>
      </c>
      <c r="L102" s="5" t="n">
        <f aca="false">J102-K102</f>
        <v>4</v>
      </c>
      <c r="M102" s="11" t="n">
        <f aca="false">IF(J102=0,0,K102/J102)</f>
        <v>0.692307692307692</v>
      </c>
    </row>
    <row r="103" customFormat="false" ht="15" hidden="false" customHeight="false" outlineLevel="0" collapsed="false">
      <c r="A103" s="5" t="s">
        <v>263</v>
      </c>
      <c r="B103" s="5" t="s">
        <v>60</v>
      </c>
      <c r="C103" s="5" t="s">
        <v>48</v>
      </c>
      <c r="D103" s="5" t="s">
        <v>264</v>
      </c>
      <c r="E103" s="5" t="s">
        <v>56</v>
      </c>
      <c r="F103" s="5" t="s">
        <v>57</v>
      </c>
      <c r="G103" s="5" t="s">
        <v>58</v>
      </c>
      <c r="H103" s="5" t="n">
        <v>0</v>
      </c>
      <c r="I103" s="5" t="n">
        <v>0</v>
      </c>
      <c r="J103" s="5" t="n">
        <v>12</v>
      </c>
      <c r="K103" s="5" t="n">
        <v>10</v>
      </c>
      <c r="L103" s="5" t="n">
        <f aca="false">J103-K103</f>
        <v>2</v>
      </c>
      <c r="M103" s="11" t="n">
        <f aca="false">IF(J103=0,0,K103/J103)</f>
        <v>0.833333333333333</v>
      </c>
    </row>
    <row r="104" customFormat="false" ht="15" hidden="false" customHeight="false" outlineLevel="0" collapsed="false">
      <c r="A104" s="5" t="s">
        <v>265</v>
      </c>
      <c r="B104" s="5" t="s">
        <v>60</v>
      </c>
      <c r="C104" s="5" t="s">
        <v>48</v>
      </c>
      <c r="D104" s="5" t="s">
        <v>266</v>
      </c>
      <c r="E104" s="5" t="s">
        <v>267</v>
      </c>
      <c r="F104" s="5" t="s">
        <v>57</v>
      </c>
      <c r="G104" s="5" t="s">
        <v>58</v>
      </c>
      <c r="H104" s="5" t="n">
        <v>0</v>
      </c>
      <c r="I104" s="5" t="n">
        <v>0</v>
      </c>
      <c r="J104" s="5" t="n">
        <v>20</v>
      </c>
      <c r="K104" s="5" t="n">
        <v>17</v>
      </c>
      <c r="L104" s="5" t="n">
        <f aca="false">J104-K104</f>
        <v>3</v>
      </c>
      <c r="M104" s="11" t="n">
        <f aca="false">IF(J104=0,0,K104/J104)</f>
        <v>0.85</v>
      </c>
    </row>
    <row r="105" customFormat="false" ht="15" hidden="false" customHeight="false" outlineLevel="0" collapsed="false">
      <c r="A105" s="5" t="s">
        <v>268</v>
      </c>
      <c r="B105" s="5" t="s">
        <v>60</v>
      </c>
      <c r="C105" s="5" t="s">
        <v>48</v>
      </c>
      <c r="D105" s="5" t="s">
        <v>114</v>
      </c>
      <c r="E105" s="5" t="s">
        <v>124</v>
      </c>
      <c r="F105" s="5" t="s">
        <v>57</v>
      </c>
      <c r="G105" s="5" t="s">
        <v>58</v>
      </c>
      <c r="H105" s="5" t="n">
        <v>0</v>
      </c>
      <c r="I105" s="5" t="n">
        <v>0</v>
      </c>
      <c r="J105" s="5" t="n">
        <v>25</v>
      </c>
      <c r="K105" s="5" t="n">
        <v>22</v>
      </c>
      <c r="L105" s="5" t="n">
        <f aca="false">J105-K105</f>
        <v>3</v>
      </c>
      <c r="M105" s="11" t="n">
        <f aca="false">IF(J105=0,0,K105/J105)</f>
        <v>0.88</v>
      </c>
    </row>
    <row r="106" customFormat="false" ht="15" hidden="false" customHeight="false" outlineLevel="0" collapsed="false">
      <c r="A106" s="5" t="s">
        <v>269</v>
      </c>
      <c r="B106" s="5" t="s">
        <v>60</v>
      </c>
      <c r="C106" s="5" t="s">
        <v>48</v>
      </c>
      <c r="D106" s="5" t="s">
        <v>114</v>
      </c>
      <c r="E106" s="5" t="s">
        <v>124</v>
      </c>
      <c r="F106" s="5" t="s">
        <v>57</v>
      </c>
      <c r="G106" s="5" t="s">
        <v>58</v>
      </c>
      <c r="H106" s="5" t="n">
        <v>0</v>
      </c>
      <c r="I106" s="5" t="n">
        <v>0</v>
      </c>
      <c r="J106" s="5" t="n">
        <v>21</v>
      </c>
      <c r="K106" s="5" t="n">
        <v>19</v>
      </c>
      <c r="L106" s="5" t="n">
        <f aca="false">J106-K106</f>
        <v>2</v>
      </c>
      <c r="M106" s="11" t="n">
        <f aca="false">IF(J106=0,0,K106/J106)</f>
        <v>0.904761904761905</v>
      </c>
    </row>
    <row r="107" customFormat="false" ht="15" hidden="false" customHeight="false" outlineLevel="0" collapsed="false">
      <c r="A107" s="5" t="s">
        <v>270</v>
      </c>
      <c r="B107" s="5" t="s">
        <v>60</v>
      </c>
      <c r="C107" s="5" t="s">
        <v>48</v>
      </c>
      <c r="D107" s="5" t="s">
        <v>271</v>
      </c>
      <c r="E107" s="5" t="s">
        <v>267</v>
      </c>
      <c r="F107" s="5" t="s">
        <v>57</v>
      </c>
      <c r="G107" s="5" t="s">
        <v>58</v>
      </c>
      <c r="H107" s="5" t="n">
        <v>0</v>
      </c>
      <c r="I107" s="5" t="n">
        <v>0</v>
      </c>
      <c r="J107" s="5" t="n">
        <v>22</v>
      </c>
      <c r="K107" s="5" t="n">
        <v>19</v>
      </c>
      <c r="L107" s="5" t="n">
        <f aca="false">J107-K107</f>
        <v>3</v>
      </c>
      <c r="M107" s="11" t="n">
        <f aca="false">IF(J107=0,0,K107/J107)</f>
        <v>0.863636363636364</v>
      </c>
    </row>
    <row r="108" customFormat="false" ht="15" hidden="false" customHeight="false" outlineLevel="0" collapsed="false">
      <c r="A108" s="5" t="s">
        <v>272</v>
      </c>
      <c r="B108" s="5" t="s">
        <v>60</v>
      </c>
      <c r="C108" s="5" t="s">
        <v>48</v>
      </c>
      <c r="D108" s="5" t="s">
        <v>273</v>
      </c>
      <c r="E108" s="5" t="s">
        <v>130</v>
      </c>
      <c r="F108" s="5" t="s">
        <v>57</v>
      </c>
      <c r="G108" s="5" t="s">
        <v>58</v>
      </c>
      <c r="H108" s="5" t="n">
        <v>0</v>
      </c>
      <c r="I108" s="5" t="n">
        <v>0</v>
      </c>
      <c r="J108" s="5" t="n">
        <v>23</v>
      </c>
      <c r="K108" s="5" t="n">
        <v>15</v>
      </c>
      <c r="L108" s="5" t="n">
        <f aca="false">J108-K108</f>
        <v>8</v>
      </c>
      <c r="M108" s="11" t="n">
        <f aca="false">IF(J108=0,0,K108/J108)</f>
        <v>0.652173913043478</v>
      </c>
    </row>
    <row r="109" customFormat="false" ht="15" hidden="false" customHeight="false" outlineLevel="0" collapsed="false">
      <c r="A109" s="5" t="s">
        <v>274</v>
      </c>
      <c r="B109" s="5" t="s">
        <v>60</v>
      </c>
      <c r="C109" s="5" t="s">
        <v>48</v>
      </c>
      <c r="D109" s="5" t="s">
        <v>84</v>
      </c>
      <c r="E109" s="5" t="s">
        <v>130</v>
      </c>
      <c r="F109" s="5" t="s">
        <v>57</v>
      </c>
      <c r="G109" s="5" t="s">
        <v>58</v>
      </c>
      <c r="H109" s="5" t="n">
        <v>0</v>
      </c>
      <c r="I109" s="5" t="n">
        <v>0</v>
      </c>
      <c r="J109" s="5" t="n">
        <v>17</v>
      </c>
      <c r="K109" s="5" t="n">
        <v>16</v>
      </c>
      <c r="L109" s="5" t="n">
        <f aca="false">J109-K109</f>
        <v>1</v>
      </c>
      <c r="M109" s="11" t="n">
        <f aca="false">IF(J109=0,0,K109/J109)</f>
        <v>0.941176470588235</v>
      </c>
    </row>
    <row r="110" customFormat="false" ht="15" hidden="false" customHeight="false" outlineLevel="0" collapsed="false">
      <c r="A110" s="5" t="s">
        <v>275</v>
      </c>
      <c r="B110" s="5" t="s">
        <v>60</v>
      </c>
      <c r="C110" s="5" t="s">
        <v>48</v>
      </c>
      <c r="D110" s="5" t="s">
        <v>276</v>
      </c>
      <c r="E110" s="5" t="s">
        <v>56</v>
      </c>
      <c r="F110" s="5" t="s">
        <v>57</v>
      </c>
      <c r="G110" s="5" t="s">
        <v>58</v>
      </c>
      <c r="H110" s="5" t="n">
        <v>0</v>
      </c>
      <c r="I110" s="5" t="n">
        <v>0</v>
      </c>
      <c r="J110" s="5" t="n">
        <v>19</v>
      </c>
      <c r="K110" s="5" t="n">
        <v>18</v>
      </c>
      <c r="L110" s="5" t="n">
        <f aca="false">J110-K110</f>
        <v>1</v>
      </c>
      <c r="M110" s="11" t="n">
        <f aca="false">IF(J110=0,0,K110/J110)</f>
        <v>0.947368421052632</v>
      </c>
    </row>
    <row r="111" customFormat="false" ht="15" hidden="false" customHeight="false" outlineLevel="0" collapsed="false">
      <c r="A111" s="5" t="s">
        <v>277</v>
      </c>
      <c r="B111" s="5" t="s">
        <v>60</v>
      </c>
      <c r="C111" s="5" t="s">
        <v>48</v>
      </c>
      <c r="D111" s="5" t="s">
        <v>278</v>
      </c>
      <c r="E111" s="5" t="s">
        <v>56</v>
      </c>
      <c r="F111" s="5" t="s">
        <v>57</v>
      </c>
      <c r="G111" s="5" t="s">
        <v>58</v>
      </c>
      <c r="H111" s="5" t="n">
        <v>0</v>
      </c>
      <c r="I111" s="5" t="n">
        <v>0</v>
      </c>
      <c r="J111" s="5" t="n">
        <v>16</v>
      </c>
      <c r="K111" s="5" t="n">
        <v>15</v>
      </c>
      <c r="L111" s="5" t="n">
        <f aca="false">J111-K111</f>
        <v>1</v>
      </c>
      <c r="M111" s="11" t="n">
        <f aca="false">IF(J111=0,0,K111/J111)</f>
        <v>0.9375</v>
      </c>
    </row>
    <row r="112" customFormat="false" ht="15" hidden="false" customHeight="false" outlineLevel="0" collapsed="false">
      <c r="A112" s="5" t="s">
        <v>279</v>
      </c>
      <c r="B112" s="5" t="s">
        <v>60</v>
      </c>
      <c r="C112" s="5" t="s">
        <v>48</v>
      </c>
      <c r="D112" s="5" t="s">
        <v>261</v>
      </c>
      <c r="E112" s="5" t="s">
        <v>95</v>
      </c>
      <c r="F112" s="5" t="s">
        <v>57</v>
      </c>
      <c r="G112" s="5" t="s">
        <v>58</v>
      </c>
      <c r="H112" s="5" t="n">
        <v>0</v>
      </c>
      <c r="I112" s="5" t="n">
        <v>0</v>
      </c>
      <c r="J112" s="5" t="n">
        <v>19</v>
      </c>
      <c r="K112" s="5" t="n">
        <v>15</v>
      </c>
      <c r="L112" s="5" t="n">
        <f aca="false">J112-K112</f>
        <v>4</v>
      </c>
      <c r="M112" s="11" t="n">
        <f aca="false">IF(J112=0,0,K112/J112)</f>
        <v>0.789473684210526</v>
      </c>
    </row>
    <row r="113" customFormat="false" ht="15" hidden="false" customHeight="false" outlineLevel="0" collapsed="false">
      <c r="A113" s="5" t="s">
        <v>280</v>
      </c>
      <c r="B113" s="5" t="s">
        <v>60</v>
      </c>
      <c r="C113" s="5" t="s">
        <v>48</v>
      </c>
      <c r="D113" s="5" t="s">
        <v>114</v>
      </c>
      <c r="E113" s="5" t="s">
        <v>95</v>
      </c>
      <c r="F113" s="5" t="s">
        <v>57</v>
      </c>
      <c r="G113" s="5" t="s">
        <v>58</v>
      </c>
      <c r="H113" s="5" t="n">
        <v>0</v>
      </c>
      <c r="I113" s="5" t="n">
        <v>0</v>
      </c>
      <c r="J113" s="5" t="n">
        <v>20</v>
      </c>
      <c r="K113" s="5" t="n">
        <v>16</v>
      </c>
      <c r="L113" s="5" t="n">
        <f aca="false">J113-K113</f>
        <v>4</v>
      </c>
      <c r="M113" s="11" t="n">
        <f aca="false">IF(J113=0,0,K113/J113)</f>
        <v>0.8</v>
      </c>
    </row>
    <row r="114" customFormat="false" ht="15" hidden="false" customHeight="false" outlineLevel="0" collapsed="false">
      <c r="A114" s="5" t="s">
        <v>281</v>
      </c>
      <c r="B114" s="5" t="s">
        <v>60</v>
      </c>
      <c r="C114" s="5" t="s">
        <v>48</v>
      </c>
      <c r="D114" s="5" t="s">
        <v>249</v>
      </c>
      <c r="E114" s="5" t="s">
        <v>64</v>
      </c>
      <c r="F114" s="5" t="s">
        <v>57</v>
      </c>
      <c r="G114" s="5" t="s">
        <v>58</v>
      </c>
      <c r="H114" s="5" t="n">
        <v>0</v>
      </c>
      <c r="I114" s="5" t="n">
        <v>0</v>
      </c>
      <c r="J114" s="5" t="n">
        <v>16</v>
      </c>
      <c r="K114" s="5" t="n">
        <v>14</v>
      </c>
      <c r="L114" s="5" t="n">
        <f aca="false">J114-K114</f>
        <v>2</v>
      </c>
      <c r="M114" s="11" t="n">
        <f aca="false">IF(J114=0,0,K114/J114)</f>
        <v>0.875</v>
      </c>
    </row>
    <row r="115" customFormat="false" ht="15" hidden="false" customHeight="false" outlineLevel="0" collapsed="false">
      <c r="A115" s="5" t="s">
        <v>282</v>
      </c>
      <c r="B115" s="5" t="s">
        <v>47</v>
      </c>
      <c r="C115" s="5" t="s">
        <v>48</v>
      </c>
      <c r="D115" s="5" t="s">
        <v>93</v>
      </c>
      <c r="E115" s="5" t="s">
        <v>56</v>
      </c>
      <c r="F115" s="5" t="s">
        <v>51</v>
      </c>
      <c r="G115" s="5" t="s">
        <v>52</v>
      </c>
      <c r="H115" s="5" t="n">
        <v>8</v>
      </c>
      <c r="I115" s="5" t="n">
        <v>8</v>
      </c>
      <c r="J115" s="5" t="n">
        <v>7</v>
      </c>
      <c r="K115" s="5" t="n">
        <v>7</v>
      </c>
      <c r="L115" s="5" t="n">
        <f aca="false">J115-K115</f>
        <v>0</v>
      </c>
      <c r="M115" s="11" t="n">
        <f aca="false">IF(J115=0,0,K115/J115)</f>
        <v>1</v>
      </c>
    </row>
    <row r="116" customFormat="false" ht="15" hidden="false" customHeight="false" outlineLevel="0" collapsed="false">
      <c r="A116" s="5" t="s">
        <v>283</v>
      </c>
      <c r="B116" s="5" t="s">
        <v>60</v>
      </c>
      <c r="C116" s="5" t="s">
        <v>48</v>
      </c>
      <c r="D116" s="5" t="s">
        <v>236</v>
      </c>
      <c r="E116" s="5" t="s">
        <v>56</v>
      </c>
      <c r="F116" s="5" t="s">
        <v>57</v>
      </c>
      <c r="G116" s="5" t="s">
        <v>58</v>
      </c>
      <c r="H116" s="5" t="n">
        <v>0</v>
      </c>
      <c r="I116" s="5" t="n">
        <v>0</v>
      </c>
      <c r="J116" s="5" t="n">
        <v>14</v>
      </c>
      <c r="K116" s="5" t="n">
        <v>14</v>
      </c>
      <c r="L116" s="5" t="n">
        <f aca="false">J116-K116</f>
        <v>0</v>
      </c>
      <c r="M116" s="11" t="n">
        <f aca="false">IF(J116=0,0,K116/J116)</f>
        <v>1</v>
      </c>
    </row>
    <row r="117" customFormat="false" ht="15" hidden="false" customHeight="false" outlineLevel="0" collapsed="false">
      <c r="A117" s="5" t="s">
        <v>284</v>
      </c>
      <c r="B117" s="5" t="s">
        <v>60</v>
      </c>
      <c r="C117" s="5" t="s">
        <v>48</v>
      </c>
      <c r="D117" s="5" t="s">
        <v>236</v>
      </c>
      <c r="E117" s="5" t="s">
        <v>56</v>
      </c>
      <c r="F117" s="5" t="s">
        <v>57</v>
      </c>
      <c r="G117" s="5" t="s">
        <v>58</v>
      </c>
      <c r="H117" s="5" t="n">
        <v>0</v>
      </c>
      <c r="I117" s="5" t="n">
        <v>0</v>
      </c>
      <c r="J117" s="5" t="n">
        <v>14</v>
      </c>
      <c r="K117" s="5" t="n">
        <v>14</v>
      </c>
      <c r="L117" s="5" t="n">
        <f aca="false">J117-K117</f>
        <v>0</v>
      </c>
      <c r="M117" s="11" t="n">
        <f aca="false">IF(J117=0,0,K117/J117)</f>
        <v>1</v>
      </c>
    </row>
    <row r="118" customFormat="false" ht="15" hidden="false" customHeight="false" outlineLevel="0" collapsed="false">
      <c r="A118" s="5" t="s">
        <v>285</v>
      </c>
      <c r="B118" s="5" t="s">
        <v>60</v>
      </c>
      <c r="C118" s="5" t="s">
        <v>48</v>
      </c>
      <c r="D118" s="5" t="s">
        <v>164</v>
      </c>
      <c r="E118" s="5" t="s">
        <v>56</v>
      </c>
      <c r="F118" s="5" t="s">
        <v>57</v>
      </c>
      <c r="G118" s="5" t="s">
        <v>58</v>
      </c>
      <c r="H118" s="5" t="n">
        <v>0</v>
      </c>
      <c r="I118" s="5" t="n">
        <v>0</v>
      </c>
      <c r="J118" s="5" t="n">
        <v>18</v>
      </c>
      <c r="K118" s="5" t="n">
        <v>16</v>
      </c>
      <c r="L118" s="5" t="n">
        <f aca="false">J118-K118</f>
        <v>2</v>
      </c>
      <c r="M118" s="11" t="n">
        <f aca="false">IF(J118=0,0,K118/J118)</f>
        <v>0.888888888888889</v>
      </c>
    </row>
    <row r="119" customFormat="false" ht="15" hidden="false" customHeight="false" outlineLevel="0" collapsed="false">
      <c r="A119" s="5" t="s">
        <v>286</v>
      </c>
      <c r="B119" s="5" t="s">
        <v>47</v>
      </c>
      <c r="C119" s="5" t="s">
        <v>48</v>
      </c>
      <c r="D119" s="5" t="s">
        <v>287</v>
      </c>
      <c r="E119" s="5" t="s">
        <v>288</v>
      </c>
      <c r="F119" s="5" t="s">
        <v>51</v>
      </c>
      <c r="G119" s="5" t="s">
        <v>52</v>
      </c>
      <c r="H119" s="5" t="n">
        <v>7</v>
      </c>
      <c r="I119" s="5" t="n">
        <v>7</v>
      </c>
      <c r="J119" s="5" t="n">
        <v>7</v>
      </c>
      <c r="K119" s="5" t="n">
        <v>7</v>
      </c>
      <c r="L119" s="5" t="n">
        <f aca="false">J119-K119</f>
        <v>0</v>
      </c>
      <c r="M119" s="11" t="n">
        <f aca="false">IF(J119=0,0,K119/J119)</f>
        <v>1</v>
      </c>
    </row>
    <row r="120" customFormat="false" ht="15" hidden="false" customHeight="false" outlineLevel="0" collapsed="false">
      <c r="A120" s="5" t="s">
        <v>289</v>
      </c>
      <c r="B120" s="5" t="s">
        <v>60</v>
      </c>
      <c r="C120" s="5" t="s">
        <v>48</v>
      </c>
      <c r="D120" s="5" t="s">
        <v>290</v>
      </c>
      <c r="E120" s="5" t="s">
        <v>291</v>
      </c>
      <c r="F120" s="5" t="s">
        <v>57</v>
      </c>
      <c r="G120" s="5" t="s">
        <v>58</v>
      </c>
      <c r="H120" s="5" t="n">
        <v>0</v>
      </c>
      <c r="I120" s="5" t="n">
        <v>0</v>
      </c>
      <c r="J120" s="5" t="n">
        <v>26</v>
      </c>
      <c r="K120" s="5" t="n">
        <v>25</v>
      </c>
      <c r="L120" s="5" t="n">
        <f aca="false">J120-K120</f>
        <v>1</v>
      </c>
      <c r="M120" s="11" t="n">
        <f aca="false">IF(J120=0,0,K120/J120)</f>
        <v>0.961538461538462</v>
      </c>
    </row>
    <row r="121" customFormat="false" ht="15" hidden="false" customHeight="false" outlineLevel="0" collapsed="false">
      <c r="A121" s="5" t="s">
        <v>292</v>
      </c>
      <c r="B121" s="5" t="s">
        <v>60</v>
      </c>
      <c r="C121" s="5" t="s">
        <v>48</v>
      </c>
      <c r="D121" s="5" t="s">
        <v>290</v>
      </c>
      <c r="E121" s="5" t="s">
        <v>220</v>
      </c>
      <c r="F121" s="5" t="s">
        <v>57</v>
      </c>
      <c r="G121" s="5" t="s">
        <v>58</v>
      </c>
      <c r="H121" s="5" t="n">
        <v>0</v>
      </c>
      <c r="I121" s="5" t="n">
        <v>0</v>
      </c>
      <c r="J121" s="5" t="n">
        <v>28</v>
      </c>
      <c r="K121" s="5" t="n">
        <v>27</v>
      </c>
      <c r="L121" s="5" t="n">
        <f aca="false">J121-K121</f>
        <v>1</v>
      </c>
      <c r="M121" s="11" t="n">
        <f aca="false">IF(J121=0,0,K121/J121)</f>
        <v>0.964285714285714</v>
      </c>
    </row>
    <row r="122" customFormat="false" ht="15" hidden="false" customHeight="false" outlineLevel="0" collapsed="false">
      <c r="A122" s="5" t="s">
        <v>293</v>
      </c>
      <c r="B122" s="5" t="s">
        <v>60</v>
      </c>
      <c r="C122" s="5" t="s">
        <v>48</v>
      </c>
      <c r="D122" s="5" t="s">
        <v>87</v>
      </c>
      <c r="E122" s="5" t="s">
        <v>220</v>
      </c>
      <c r="F122" s="5" t="s">
        <v>294</v>
      </c>
      <c r="G122" s="5" t="s">
        <v>295</v>
      </c>
      <c r="H122" s="5" t="n">
        <v>0</v>
      </c>
      <c r="I122" s="5" t="n">
        <v>0</v>
      </c>
      <c r="J122" s="5" t="n">
        <v>8</v>
      </c>
      <c r="K122" s="5" t="n">
        <v>8</v>
      </c>
      <c r="L122" s="5" t="n">
        <f aca="false">J122-K122</f>
        <v>0</v>
      </c>
      <c r="M122" s="11" t="n">
        <f aca="false">IF(J122=0,0,K122/J122)</f>
        <v>1</v>
      </c>
    </row>
    <row r="123" customFormat="false" ht="15" hidden="false" customHeight="false" outlineLevel="0" collapsed="false">
      <c r="A123" s="5" t="s">
        <v>296</v>
      </c>
      <c r="B123" s="5" t="s">
        <v>60</v>
      </c>
      <c r="C123" s="5" t="s">
        <v>48</v>
      </c>
      <c r="D123" s="5" t="s">
        <v>297</v>
      </c>
      <c r="E123" s="5" t="s">
        <v>220</v>
      </c>
      <c r="F123" s="5" t="s">
        <v>57</v>
      </c>
      <c r="G123" s="5" t="s">
        <v>58</v>
      </c>
      <c r="H123" s="5" t="n">
        <v>0</v>
      </c>
      <c r="I123" s="5" t="n">
        <v>0</v>
      </c>
      <c r="J123" s="5" t="n">
        <v>24</v>
      </c>
      <c r="K123" s="5" t="n">
        <v>24</v>
      </c>
      <c r="L123" s="5" t="n">
        <f aca="false">J123-K123</f>
        <v>0</v>
      </c>
      <c r="M123" s="11" t="n">
        <f aca="false">IF(J123=0,0,K123/J123)</f>
        <v>1</v>
      </c>
    </row>
    <row r="124" customFormat="false" ht="15" hidden="false" customHeight="false" outlineLevel="0" collapsed="false">
      <c r="A124" s="5" t="s">
        <v>298</v>
      </c>
      <c r="B124" s="5" t="s">
        <v>60</v>
      </c>
      <c r="C124" s="5" t="s">
        <v>48</v>
      </c>
      <c r="D124" s="5" t="s">
        <v>299</v>
      </c>
      <c r="E124" s="5" t="s">
        <v>64</v>
      </c>
      <c r="F124" s="5" t="s">
        <v>294</v>
      </c>
      <c r="G124" s="5" t="s">
        <v>295</v>
      </c>
      <c r="H124" s="5" t="n">
        <v>0</v>
      </c>
      <c r="I124" s="5" t="n">
        <v>0</v>
      </c>
      <c r="J124" s="5" t="n">
        <v>7</v>
      </c>
      <c r="K124" s="5" t="n">
        <v>7</v>
      </c>
      <c r="L124" s="5" t="n">
        <f aca="false">J124-K124</f>
        <v>0</v>
      </c>
      <c r="M124" s="11" t="n">
        <f aca="false">IF(J124=0,0,K124/J124)</f>
        <v>1</v>
      </c>
    </row>
    <row r="125" customFormat="false" ht="15" hidden="false" customHeight="false" outlineLevel="0" collapsed="false">
      <c r="A125" s="5" t="s">
        <v>300</v>
      </c>
      <c r="B125" s="5" t="s">
        <v>60</v>
      </c>
      <c r="C125" s="5" t="s">
        <v>48</v>
      </c>
      <c r="D125" s="5" t="s">
        <v>290</v>
      </c>
      <c r="E125" s="5" t="s">
        <v>64</v>
      </c>
      <c r="F125" s="5" t="s">
        <v>57</v>
      </c>
      <c r="G125" s="5" t="s">
        <v>58</v>
      </c>
      <c r="H125" s="5" t="n">
        <v>0</v>
      </c>
      <c r="I125" s="5" t="n">
        <v>0</v>
      </c>
      <c r="J125" s="5" t="n">
        <v>18</v>
      </c>
      <c r="K125" s="5" t="n">
        <v>18</v>
      </c>
      <c r="L125" s="5" t="n">
        <f aca="false">J125-K125</f>
        <v>0</v>
      </c>
      <c r="M125" s="11" t="n">
        <f aca="false">IF(J125=0,0,K125/J125)</f>
        <v>1</v>
      </c>
    </row>
    <row r="126" customFormat="false" ht="15" hidden="false" customHeight="false" outlineLevel="0" collapsed="false">
      <c r="A126" s="5" t="s">
        <v>301</v>
      </c>
      <c r="B126" s="5" t="s">
        <v>60</v>
      </c>
      <c r="C126" s="5" t="s">
        <v>48</v>
      </c>
      <c r="D126" s="5" t="s">
        <v>160</v>
      </c>
      <c r="E126" s="5" t="s">
        <v>64</v>
      </c>
      <c r="F126" s="5" t="s">
        <v>57</v>
      </c>
      <c r="G126" s="5" t="s">
        <v>58</v>
      </c>
      <c r="H126" s="5" t="n">
        <v>0</v>
      </c>
      <c r="I126" s="5" t="n">
        <v>0</v>
      </c>
      <c r="J126" s="5" t="n">
        <v>19</v>
      </c>
      <c r="K126" s="5" t="n">
        <v>18</v>
      </c>
      <c r="L126" s="5" t="n">
        <f aca="false">J126-K126</f>
        <v>1</v>
      </c>
      <c r="M126" s="11" t="n">
        <f aca="false">IF(J126=0,0,K126/J126)</f>
        <v>0.947368421052632</v>
      </c>
    </row>
    <row r="127" customFormat="false" ht="15" hidden="false" customHeight="false" outlineLevel="0" collapsed="false">
      <c r="A127" s="5" t="s">
        <v>302</v>
      </c>
      <c r="B127" s="5" t="s">
        <v>60</v>
      </c>
      <c r="C127" s="5" t="s">
        <v>48</v>
      </c>
      <c r="D127" s="5" t="s">
        <v>303</v>
      </c>
      <c r="E127" s="5" t="s">
        <v>208</v>
      </c>
      <c r="F127" s="5" t="s">
        <v>57</v>
      </c>
      <c r="G127" s="5" t="s">
        <v>58</v>
      </c>
      <c r="H127" s="5" t="n">
        <v>0</v>
      </c>
      <c r="I127" s="5" t="n">
        <v>0</v>
      </c>
      <c r="J127" s="5" t="n">
        <v>17</v>
      </c>
      <c r="K127" s="5" t="n">
        <v>17</v>
      </c>
      <c r="L127" s="5" t="n">
        <f aca="false">J127-K127</f>
        <v>0</v>
      </c>
      <c r="M127" s="11" t="n">
        <f aca="false">IF(J127=0,0,K127/J127)</f>
        <v>1</v>
      </c>
    </row>
    <row r="128" customFormat="false" ht="15" hidden="false" customHeight="false" outlineLevel="0" collapsed="false">
      <c r="A128" s="5" t="s">
        <v>304</v>
      </c>
      <c r="B128" s="5" t="s">
        <v>60</v>
      </c>
      <c r="C128" s="5" t="s">
        <v>48</v>
      </c>
      <c r="D128" s="5" t="s">
        <v>305</v>
      </c>
      <c r="E128" s="5" t="s">
        <v>306</v>
      </c>
      <c r="F128" s="5" t="s">
        <v>57</v>
      </c>
      <c r="G128" s="5" t="s">
        <v>58</v>
      </c>
      <c r="H128" s="5" t="n">
        <v>0</v>
      </c>
      <c r="I128" s="5" t="n">
        <v>0</v>
      </c>
      <c r="J128" s="5" t="n">
        <v>33</v>
      </c>
      <c r="K128" s="5" t="n">
        <v>31</v>
      </c>
      <c r="L128" s="5" t="n">
        <f aca="false">J128-K128</f>
        <v>2</v>
      </c>
      <c r="M128" s="11" t="n">
        <f aca="false">IF(J128=0,0,K128/J128)</f>
        <v>0.939393939393939</v>
      </c>
    </row>
    <row r="129" customFormat="false" ht="15" hidden="false" customHeight="false" outlineLevel="0" collapsed="false">
      <c r="A129" s="5" t="s">
        <v>307</v>
      </c>
      <c r="B129" s="5" t="s">
        <v>47</v>
      </c>
      <c r="C129" s="5" t="s">
        <v>48</v>
      </c>
      <c r="D129" s="5" t="s">
        <v>220</v>
      </c>
      <c r="E129" s="5" t="s">
        <v>56</v>
      </c>
      <c r="F129" s="5" t="s">
        <v>51</v>
      </c>
      <c r="G129" s="5" t="s">
        <v>52</v>
      </c>
      <c r="H129" s="5" t="n">
        <v>8</v>
      </c>
      <c r="I129" s="5" t="n">
        <v>8</v>
      </c>
      <c r="J129" s="5" t="n">
        <v>7</v>
      </c>
      <c r="K129" s="5" t="n">
        <v>7</v>
      </c>
      <c r="L129" s="5" t="n">
        <f aca="false">J129-K129</f>
        <v>0</v>
      </c>
      <c r="M129" s="11" t="n">
        <f aca="false">IF(J129=0,0,K129/J129)</f>
        <v>1</v>
      </c>
    </row>
    <row r="130" customFormat="false" ht="15" hidden="false" customHeight="false" outlineLevel="0" collapsed="false">
      <c r="A130" s="5" t="s">
        <v>308</v>
      </c>
      <c r="B130" s="5" t="s">
        <v>54</v>
      </c>
      <c r="C130" s="5" t="s">
        <v>48</v>
      </c>
      <c r="D130" s="5" t="s">
        <v>309</v>
      </c>
      <c r="E130" s="5" t="s">
        <v>85</v>
      </c>
      <c r="F130" s="5" t="s">
        <v>57</v>
      </c>
      <c r="G130" s="5" t="s">
        <v>58</v>
      </c>
      <c r="H130" s="5" t="n">
        <v>0</v>
      </c>
      <c r="I130" s="5" t="n">
        <v>0</v>
      </c>
      <c r="J130" s="5" t="n">
        <v>13</v>
      </c>
      <c r="K130" s="5" t="n">
        <v>10</v>
      </c>
      <c r="L130" s="5" t="n">
        <f aca="false">J130-K130</f>
        <v>3</v>
      </c>
      <c r="M130" s="11" t="n">
        <f aca="false">IF(J130=0,0,K130/J130)</f>
        <v>0.769230769230769</v>
      </c>
    </row>
    <row r="131" customFormat="false" ht="15" hidden="false" customHeight="false" outlineLevel="0" collapsed="false">
      <c r="A131" s="5" t="s">
        <v>310</v>
      </c>
      <c r="B131" s="5" t="s">
        <v>60</v>
      </c>
      <c r="C131" s="5" t="s">
        <v>48</v>
      </c>
      <c r="D131" s="5" t="s">
        <v>311</v>
      </c>
      <c r="E131" s="5" t="s">
        <v>56</v>
      </c>
      <c r="F131" s="5" t="s">
        <v>57</v>
      </c>
      <c r="G131" s="5" t="s">
        <v>58</v>
      </c>
      <c r="H131" s="5" t="n">
        <v>0</v>
      </c>
      <c r="I131" s="5" t="n">
        <v>0</v>
      </c>
      <c r="J131" s="5" t="n">
        <v>13</v>
      </c>
      <c r="K131" s="5" t="n">
        <v>8</v>
      </c>
      <c r="L131" s="5" t="n">
        <f aca="false">J131-K131</f>
        <v>5</v>
      </c>
      <c r="M131" s="11" t="n">
        <f aca="false">IF(J131=0,0,K131/J131)</f>
        <v>0.615384615384615</v>
      </c>
    </row>
    <row r="132" customFormat="false" ht="15" hidden="false" customHeight="false" outlineLevel="0" collapsed="false">
      <c r="A132" s="5" t="s">
        <v>312</v>
      </c>
      <c r="B132" s="5" t="s">
        <v>60</v>
      </c>
      <c r="C132" s="5" t="s">
        <v>48</v>
      </c>
      <c r="D132" s="5" t="s">
        <v>313</v>
      </c>
      <c r="E132" s="5" t="s">
        <v>64</v>
      </c>
      <c r="F132" s="5" t="s">
        <v>57</v>
      </c>
      <c r="G132" s="5" t="s">
        <v>58</v>
      </c>
      <c r="H132" s="5" t="n">
        <v>0</v>
      </c>
      <c r="I132" s="5" t="n">
        <v>0</v>
      </c>
      <c r="J132" s="5" t="n">
        <v>13</v>
      </c>
      <c r="K132" s="5" t="n">
        <v>8</v>
      </c>
      <c r="L132" s="5" t="n">
        <f aca="false">J132-K132</f>
        <v>5</v>
      </c>
      <c r="M132" s="11" t="n">
        <f aca="false">IF(J132=0,0,K132/J132)</f>
        <v>0.615384615384615</v>
      </c>
    </row>
    <row r="133" customFormat="false" ht="15" hidden="false" customHeight="false" outlineLevel="0" collapsed="false">
      <c r="A133" s="5" t="s">
        <v>314</v>
      </c>
      <c r="B133" s="5" t="s">
        <v>60</v>
      </c>
      <c r="C133" s="5" t="s">
        <v>48</v>
      </c>
      <c r="D133" s="5" t="s">
        <v>315</v>
      </c>
      <c r="E133" s="5" t="s">
        <v>64</v>
      </c>
      <c r="F133" s="5" t="s">
        <v>57</v>
      </c>
      <c r="G133" s="5" t="s">
        <v>58</v>
      </c>
      <c r="H133" s="5" t="n">
        <v>0</v>
      </c>
      <c r="I133" s="5" t="n">
        <v>0</v>
      </c>
      <c r="J133" s="5" t="n">
        <v>11</v>
      </c>
      <c r="K133" s="5" t="n">
        <v>8</v>
      </c>
      <c r="L133" s="5" t="n">
        <f aca="false">J133-K133</f>
        <v>3</v>
      </c>
      <c r="M133" s="11" t="n">
        <f aca="false">IF(J133=0,0,K133/J133)</f>
        <v>0.727272727272727</v>
      </c>
    </row>
    <row r="134" customFormat="false" ht="15" hidden="false" customHeight="false" outlineLevel="0" collapsed="false">
      <c r="A134" s="5" t="s">
        <v>316</v>
      </c>
      <c r="B134" s="5" t="s">
        <v>60</v>
      </c>
      <c r="C134" s="5" t="s">
        <v>48</v>
      </c>
      <c r="D134" s="5" t="s">
        <v>317</v>
      </c>
      <c r="E134" s="5" t="s">
        <v>64</v>
      </c>
      <c r="F134" s="5" t="s">
        <v>57</v>
      </c>
      <c r="G134" s="5" t="s">
        <v>58</v>
      </c>
      <c r="H134" s="5" t="n">
        <v>0</v>
      </c>
      <c r="I134" s="5" t="n">
        <v>0</v>
      </c>
      <c r="J134" s="5" t="n">
        <v>12</v>
      </c>
      <c r="K134" s="5" t="n">
        <v>9</v>
      </c>
      <c r="L134" s="5" t="n">
        <f aca="false">J134-K134</f>
        <v>3</v>
      </c>
      <c r="M134" s="11" t="n">
        <f aca="false">IF(J134=0,0,K134/J134)</f>
        <v>0.75</v>
      </c>
    </row>
    <row r="135" customFormat="false" ht="15" hidden="false" customHeight="false" outlineLevel="0" collapsed="false">
      <c r="A135" s="5" t="s">
        <v>318</v>
      </c>
      <c r="B135" s="5" t="s">
        <v>60</v>
      </c>
      <c r="C135" s="5" t="s">
        <v>48</v>
      </c>
      <c r="D135" s="5" t="s">
        <v>319</v>
      </c>
      <c r="E135" s="5" t="s">
        <v>64</v>
      </c>
      <c r="F135" s="5" t="s">
        <v>57</v>
      </c>
      <c r="G135" s="5" t="s">
        <v>58</v>
      </c>
      <c r="H135" s="5" t="n">
        <v>0</v>
      </c>
      <c r="I135" s="5" t="n">
        <v>0</v>
      </c>
      <c r="J135" s="5" t="n">
        <v>7</v>
      </c>
      <c r="K135" s="5" t="n">
        <v>5</v>
      </c>
      <c r="L135" s="5" t="n">
        <f aca="false">J135-K135</f>
        <v>2</v>
      </c>
      <c r="M135" s="11" t="n">
        <f aca="false">IF(J135=0,0,K135/J135)</f>
        <v>0.714285714285714</v>
      </c>
    </row>
    <row r="136" customFormat="false" ht="15" hidden="false" customHeight="false" outlineLevel="0" collapsed="false">
      <c r="A136" s="5" t="s">
        <v>320</v>
      </c>
      <c r="B136" s="5" t="s">
        <v>60</v>
      </c>
      <c r="C136" s="5" t="s">
        <v>48</v>
      </c>
      <c r="D136" s="5" t="s">
        <v>321</v>
      </c>
      <c r="E136" s="5" t="s">
        <v>56</v>
      </c>
      <c r="F136" s="5" t="s">
        <v>57</v>
      </c>
      <c r="G136" s="5" t="s">
        <v>58</v>
      </c>
      <c r="H136" s="5" t="n">
        <v>0</v>
      </c>
      <c r="I136" s="5" t="n">
        <v>0</v>
      </c>
      <c r="J136" s="5" t="n">
        <v>17</v>
      </c>
      <c r="K136" s="5" t="n">
        <v>11</v>
      </c>
      <c r="L136" s="5" t="n">
        <f aca="false">J136-K136</f>
        <v>6</v>
      </c>
      <c r="M136" s="11" t="n">
        <f aca="false">IF(J136=0,0,K136/J136)</f>
        <v>0.647058823529412</v>
      </c>
    </row>
    <row r="137" customFormat="false" ht="15" hidden="false" customHeight="false" outlineLevel="0" collapsed="false">
      <c r="A137" s="5" t="s">
        <v>322</v>
      </c>
      <c r="B137" s="5" t="s">
        <v>60</v>
      </c>
      <c r="C137" s="5" t="s">
        <v>48</v>
      </c>
      <c r="D137" s="5" t="s">
        <v>323</v>
      </c>
      <c r="E137" s="5" t="s">
        <v>64</v>
      </c>
      <c r="F137" s="5" t="s">
        <v>57</v>
      </c>
      <c r="G137" s="5" t="s">
        <v>58</v>
      </c>
      <c r="H137" s="5" t="n">
        <v>0</v>
      </c>
      <c r="I137" s="5" t="n">
        <v>0</v>
      </c>
      <c r="J137" s="5" t="n">
        <v>10</v>
      </c>
      <c r="K137" s="5" t="n">
        <v>9</v>
      </c>
      <c r="L137" s="5" t="n">
        <f aca="false">J137-K137</f>
        <v>1</v>
      </c>
      <c r="M137" s="11" t="n">
        <f aca="false">IF(J137=0,0,K137/J137)</f>
        <v>0.9</v>
      </c>
    </row>
    <row r="138" customFormat="false" ht="15" hidden="false" customHeight="false" outlineLevel="0" collapsed="false">
      <c r="A138" s="5" t="s">
        <v>324</v>
      </c>
      <c r="B138" s="5" t="s">
        <v>60</v>
      </c>
      <c r="C138" s="5" t="s">
        <v>48</v>
      </c>
      <c r="D138" s="5" t="s">
        <v>325</v>
      </c>
      <c r="E138" s="5" t="s">
        <v>56</v>
      </c>
      <c r="F138" s="5" t="s">
        <v>57</v>
      </c>
      <c r="G138" s="5" t="s">
        <v>58</v>
      </c>
      <c r="H138" s="5" t="n">
        <v>0</v>
      </c>
      <c r="I138" s="5" t="n">
        <v>0</v>
      </c>
      <c r="J138" s="5" t="n">
        <v>14</v>
      </c>
      <c r="K138" s="5" t="n">
        <v>9</v>
      </c>
      <c r="L138" s="5" t="n">
        <f aca="false">J138-K138</f>
        <v>5</v>
      </c>
      <c r="M138" s="11" t="n">
        <f aca="false">IF(J138=0,0,K138/J138)</f>
        <v>0.642857142857143</v>
      </c>
    </row>
    <row r="139" customFormat="false" ht="15" hidden="false" customHeight="false" outlineLevel="0" collapsed="false">
      <c r="A139" s="5" t="s">
        <v>326</v>
      </c>
      <c r="B139" s="5" t="s">
        <v>60</v>
      </c>
      <c r="C139" s="5" t="s">
        <v>48</v>
      </c>
      <c r="D139" s="5" t="s">
        <v>327</v>
      </c>
      <c r="E139" s="5" t="s">
        <v>64</v>
      </c>
      <c r="F139" s="5" t="s">
        <v>57</v>
      </c>
      <c r="G139" s="5" t="s">
        <v>58</v>
      </c>
      <c r="H139" s="5" t="n">
        <v>0</v>
      </c>
      <c r="I139" s="5" t="n">
        <v>0</v>
      </c>
      <c r="J139" s="5" t="n">
        <v>14</v>
      </c>
      <c r="K139" s="5" t="n">
        <v>11</v>
      </c>
      <c r="L139" s="5" t="n">
        <f aca="false">J139-K139</f>
        <v>3</v>
      </c>
      <c r="M139" s="11" t="n">
        <f aca="false">IF(J139=0,0,K139/J139)</f>
        <v>0.785714285714286</v>
      </c>
    </row>
    <row r="140" customFormat="false" ht="15" hidden="false" customHeight="false" outlineLevel="0" collapsed="false">
      <c r="A140" s="5" t="s">
        <v>328</v>
      </c>
      <c r="B140" s="5" t="s">
        <v>54</v>
      </c>
      <c r="C140" s="5" t="s">
        <v>48</v>
      </c>
      <c r="D140" s="5" t="s">
        <v>309</v>
      </c>
      <c r="E140" s="5" t="s">
        <v>85</v>
      </c>
      <c r="F140" s="5" t="s">
        <v>57</v>
      </c>
      <c r="G140" s="5" t="s">
        <v>58</v>
      </c>
      <c r="H140" s="5" t="n">
        <v>0</v>
      </c>
      <c r="I140" s="5" t="n">
        <v>0</v>
      </c>
      <c r="J140" s="5" t="n">
        <v>12</v>
      </c>
      <c r="K140" s="5" t="n">
        <v>11</v>
      </c>
      <c r="L140" s="5" t="n">
        <f aca="false">J140-K140</f>
        <v>1</v>
      </c>
      <c r="M140" s="11" t="n">
        <f aca="false">IF(J140=0,0,K140/J140)</f>
        <v>0.916666666666667</v>
      </c>
    </row>
    <row r="141" customFormat="false" ht="15" hidden="false" customHeight="false" outlineLevel="0" collapsed="false">
      <c r="A141" s="5" t="s">
        <v>329</v>
      </c>
      <c r="B141" s="5" t="s">
        <v>60</v>
      </c>
      <c r="C141" s="5" t="s">
        <v>48</v>
      </c>
      <c r="D141" s="5" t="s">
        <v>330</v>
      </c>
      <c r="E141" s="5" t="s">
        <v>56</v>
      </c>
      <c r="F141" s="5" t="s">
        <v>57</v>
      </c>
      <c r="G141" s="5" t="s">
        <v>58</v>
      </c>
      <c r="H141" s="5" t="n">
        <v>0</v>
      </c>
      <c r="I141" s="5" t="n">
        <v>0</v>
      </c>
      <c r="J141" s="5" t="n">
        <v>17</v>
      </c>
      <c r="K141" s="5" t="n">
        <v>11</v>
      </c>
      <c r="L141" s="5" t="n">
        <f aca="false">J141-K141</f>
        <v>6</v>
      </c>
      <c r="M141" s="11" t="n">
        <f aca="false">IF(J141=0,0,K141/J141)</f>
        <v>0.647058823529412</v>
      </c>
    </row>
    <row r="142" customFormat="false" ht="15" hidden="false" customHeight="false" outlineLevel="0" collapsed="false">
      <c r="A142" s="5" t="s">
        <v>331</v>
      </c>
      <c r="B142" s="5" t="s">
        <v>60</v>
      </c>
      <c r="C142" s="5" t="s">
        <v>48</v>
      </c>
      <c r="D142" s="5" t="s">
        <v>332</v>
      </c>
      <c r="E142" s="5" t="s">
        <v>56</v>
      </c>
      <c r="F142" s="5" t="s">
        <v>57</v>
      </c>
      <c r="G142" s="5" t="s">
        <v>58</v>
      </c>
      <c r="H142" s="5" t="n">
        <v>0</v>
      </c>
      <c r="I142" s="5" t="n">
        <v>0</v>
      </c>
      <c r="J142" s="5" t="n">
        <v>13</v>
      </c>
      <c r="K142" s="5" t="n">
        <v>9</v>
      </c>
      <c r="L142" s="5" t="n">
        <f aca="false">J142-K142</f>
        <v>4</v>
      </c>
      <c r="M142" s="11" t="n">
        <f aca="false">IF(J142=0,0,K142/J142)</f>
        <v>0.692307692307692</v>
      </c>
    </row>
    <row r="143" customFormat="false" ht="15" hidden="false" customHeight="false" outlineLevel="0" collapsed="false">
      <c r="A143" s="5" t="s">
        <v>333</v>
      </c>
      <c r="B143" s="5" t="s">
        <v>60</v>
      </c>
      <c r="C143" s="5" t="s">
        <v>48</v>
      </c>
      <c r="D143" s="5" t="s">
        <v>334</v>
      </c>
      <c r="E143" s="5" t="s">
        <v>335</v>
      </c>
      <c r="F143" s="5" t="s">
        <v>57</v>
      </c>
      <c r="G143" s="5" t="s">
        <v>58</v>
      </c>
      <c r="H143" s="5" t="n">
        <v>0</v>
      </c>
      <c r="I143" s="5" t="n">
        <v>0</v>
      </c>
      <c r="J143" s="5" t="n">
        <v>4</v>
      </c>
      <c r="K143" s="5" t="n">
        <v>3</v>
      </c>
      <c r="L143" s="5" t="n">
        <f aca="false">J143-K143</f>
        <v>1</v>
      </c>
      <c r="M143" s="11" t="n">
        <f aca="false">IF(J143=0,0,K143/J143)</f>
        <v>0.75</v>
      </c>
    </row>
    <row r="144" customFormat="false" ht="15" hidden="false" customHeight="false" outlineLevel="0" collapsed="false">
      <c r="A144" s="5" t="s">
        <v>336</v>
      </c>
      <c r="B144" s="5" t="s">
        <v>60</v>
      </c>
      <c r="C144" s="5" t="s">
        <v>48</v>
      </c>
      <c r="D144" s="5" t="s">
        <v>337</v>
      </c>
      <c r="E144" s="5" t="s">
        <v>338</v>
      </c>
      <c r="F144" s="5" t="s">
        <v>57</v>
      </c>
      <c r="G144" s="5" t="s">
        <v>58</v>
      </c>
      <c r="H144" s="5" t="n">
        <v>0</v>
      </c>
      <c r="I144" s="5" t="n">
        <v>0</v>
      </c>
      <c r="J144" s="5" t="n">
        <v>16</v>
      </c>
      <c r="K144" s="5" t="n">
        <v>8</v>
      </c>
      <c r="L144" s="5" t="n">
        <f aca="false">J144-K144</f>
        <v>8</v>
      </c>
      <c r="M144" s="11" t="n">
        <f aca="false">IF(J144=0,0,K144/J144)</f>
        <v>0.5</v>
      </c>
    </row>
    <row r="145" customFormat="false" ht="15" hidden="false" customHeight="false" outlineLevel="0" collapsed="false">
      <c r="A145" s="5" t="s">
        <v>339</v>
      </c>
      <c r="B145" s="5" t="s">
        <v>60</v>
      </c>
      <c r="C145" s="5" t="s">
        <v>48</v>
      </c>
      <c r="D145" s="5" t="s">
        <v>337</v>
      </c>
      <c r="E145" s="5" t="s">
        <v>340</v>
      </c>
      <c r="F145" s="5" t="s">
        <v>57</v>
      </c>
      <c r="G145" s="5" t="s">
        <v>58</v>
      </c>
      <c r="H145" s="5" t="n">
        <v>0</v>
      </c>
      <c r="I145" s="5" t="n">
        <v>0</v>
      </c>
      <c r="J145" s="5" t="n">
        <v>16</v>
      </c>
      <c r="K145" s="5" t="n">
        <v>8</v>
      </c>
      <c r="L145" s="5" t="n">
        <f aca="false">J145-K145</f>
        <v>8</v>
      </c>
      <c r="M145" s="11" t="n">
        <f aca="false">IF(J145=0,0,K145/J145)</f>
        <v>0.5</v>
      </c>
    </row>
    <row r="146" customFormat="false" ht="15" hidden="false" customHeight="false" outlineLevel="0" collapsed="false">
      <c r="A146" s="5" t="s">
        <v>341</v>
      </c>
      <c r="B146" s="5" t="s">
        <v>60</v>
      </c>
      <c r="C146" s="5" t="s">
        <v>48</v>
      </c>
      <c r="D146" s="5" t="s">
        <v>337</v>
      </c>
      <c r="E146" s="5" t="s">
        <v>342</v>
      </c>
      <c r="F146" s="5" t="s">
        <v>57</v>
      </c>
      <c r="G146" s="5" t="s">
        <v>58</v>
      </c>
      <c r="H146" s="5" t="n">
        <v>0</v>
      </c>
      <c r="I146" s="5" t="n">
        <v>0</v>
      </c>
      <c r="J146" s="5" t="n">
        <v>14</v>
      </c>
      <c r="K146" s="5" t="n">
        <v>6</v>
      </c>
      <c r="L146" s="5" t="n">
        <f aca="false">J146-K146</f>
        <v>8</v>
      </c>
      <c r="M146" s="11" t="n">
        <f aca="false">IF(J146=0,0,K146/J146)</f>
        <v>0.428571428571429</v>
      </c>
    </row>
    <row r="147" customFormat="false" ht="15" hidden="false" customHeight="false" outlineLevel="0" collapsed="false">
      <c r="A147" s="5" t="s">
        <v>343</v>
      </c>
      <c r="B147" s="5" t="s">
        <v>60</v>
      </c>
      <c r="C147" s="5" t="s">
        <v>48</v>
      </c>
      <c r="D147" s="5" t="s">
        <v>344</v>
      </c>
      <c r="E147" s="5" t="s">
        <v>56</v>
      </c>
      <c r="F147" s="5" t="s">
        <v>57</v>
      </c>
      <c r="G147" s="5" t="s">
        <v>58</v>
      </c>
      <c r="H147" s="5" t="n">
        <v>0</v>
      </c>
      <c r="I147" s="5" t="n">
        <v>0</v>
      </c>
      <c r="J147" s="5" t="n">
        <v>17</v>
      </c>
      <c r="K147" s="5" t="n">
        <v>9</v>
      </c>
      <c r="L147" s="5" t="n">
        <f aca="false">J147-K147</f>
        <v>8</v>
      </c>
      <c r="M147" s="11" t="n">
        <f aca="false">IF(J147=0,0,K147/J147)</f>
        <v>0.529411764705882</v>
      </c>
    </row>
    <row r="148" customFormat="false" ht="15" hidden="false" customHeight="false" outlineLevel="0" collapsed="false">
      <c r="A148" s="5" t="s">
        <v>345</v>
      </c>
      <c r="B148" s="5" t="s">
        <v>60</v>
      </c>
      <c r="C148" s="5" t="s">
        <v>48</v>
      </c>
      <c r="D148" s="5" t="s">
        <v>346</v>
      </c>
      <c r="E148" s="5" t="s">
        <v>347</v>
      </c>
      <c r="F148" s="5" t="s">
        <v>57</v>
      </c>
      <c r="G148" s="5" t="s">
        <v>58</v>
      </c>
      <c r="H148" s="5" t="n">
        <v>0</v>
      </c>
      <c r="I148" s="5" t="n">
        <v>0</v>
      </c>
      <c r="J148" s="5" t="n">
        <v>8</v>
      </c>
      <c r="K148" s="5" t="n">
        <v>2</v>
      </c>
      <c r="L148" s="5" t="n">
        <f aca="false">J148-K148</f>
        <v>6</v>
      </c>
      <c r="M148" s="11" t="n">
        <f aca="false">IF(J148=0,0,K148/J148)</f>
        <v>0.25</v>
      </c>
    </row>
    <row r="149" customFormat="false" ht="15" hidden="false" customHeight="false" outlineLevel="0" collapsed="false">
      <c r="A149" s="5" t="s">
        <v>348</v>
      </c>
      <c r="B149" s="5" t="s">
        <v>60</v>
      </c>
      <c r="C149" s="5" t="s">
        <v>48</v>
      </c>
      <c r="D149" s="5" t="s">
        <v>349</v>
      </c>
      <c r="E149" s="5" t="s">
        <v>208</v>
      </c>
      <c r="F149" s="5" t="s">
        <v>57</v>
      </c>
      <c r="G149" s="5" t="s">
        <v>58</v>
      </c>
      <c r="H149" s="5" t="n">
        <v>0</v>
      </c>
      <c r="I149" s="5" t="n">
        <v>0</v>
      </c>
      <c r="J149" s="5" t="n">
        <v>7</v>
      </c>
      <c r="K149" s="5" t="n">
        <v>7</v>
      </c>
      <c r="L149" s="5" t="n">
        <f aca="false">J149-K149</f>
        <v>0</v>
      </c>
      <c r="M149" s="11" t="n">
        <f aca="false">IF(J149=0,0,K149/J149)</f>
        <v>1</v>
      </c>
    </row>
    <row r="150" customFormat="false" ht="15" hidden="false" customHeight="false" outlineLevel="0" collapsed="false">
      <c r="A150" s="5" t="s">
        <v>350</v>
      </c>
      <c r="B150" s="5" t="s">
        <v>60</v>
      </c>
      <c r="C150" s="5" t="s">
        <v>48</v>
      </c>
      <c r="D150" s="5" t="s">
        <v>351</v>
      </c>
      <c r="E150" s="5" t="s">
        <v>352</v>
      </c>
      <c r="F150" s="5" t="s">
        <v>57</v>
      </c>
      <c r="G150" s="5" t="s">
        <v>58</v>
      </c>
      <c r="H150" s="5" t="n">
        <v>0</v>
      </c>
      <c r="I150" s="5" t="n">
        <v>0</v>
      </c>
      <c r="J150" s="5" t="n">
        <v>15</v>
      </c>
      <c r="K150" s="5" t="n">
        <v>13</v>
      </c>
      <c r="L150" s="5" t="n">
        <f aca="false">J150-K150</f>
        <v>2</v>
      </c>
      <c r="M150" s="11" t="n">
        <f aca="false">IF(J150=0,0,K150/J150)</f>
        <v>0.866666666666667</v>
      </c>
    </row>
    <row r="151" customFormat="false" ht="15" hidden="false" customHeight="false" outlineLevel="0" collapsed="false">
      <c r="A151" s="5" t="s">
        <v>353</v>
      </c>
      <c r="B151" s="5" t="s">
        <v>60</v>
      </c>
      <c r="C151" s="5" t="s">
        <v>48</v>
      </c>
      <c r="D151" s="5" t="s">
        <v>354</v>
      </c>
      <c r="E151" s="5" t="s">
        <v>355</v>
      </c>
      <c r="F151" s="5" t="s">
        <v>57</v>
      </c>
      <c r="G151" s="5" t="s">
        <v>58</v>
      </c>
      <c r="H151" s="5" t="n">
        <v>0</v>
      </c>
      <c r="I151" s="5" t="n">
        <v>0</v>
      </c>
      <c r="J151" s="5" t="n">
        <v>9</v>
      </c>
      <c r="K151" s="5" t="n">
        <v>3</v>
      </c>
      <c r="L151" s="5" t="n">
        <f aca="false">J151-K151</f>
        <v>6</v>
      </c>
      <c r="M151" s="11" t="n">
        <f aca="false">IF(J151=0,0,K151/J151)</f>
        <v>0.333333333333333</v>
      </c>
    </row>
    <row r="152" customFormat="false" ht="15" hidden="false" customHeight="false" outlineLevel="0" collapsed="false">
      <c r="A152" s="5" t="s">
        <v>356</v>
      </c>
      <c r="B152" s="5" t="s">
        <v>60</v>
      </c>
      <c r="C152" s="5" t="s">
        <v>48</v>
      </c>
      <c r="D152" s="5" t="s">
        <v>354</v>
      </c>
      <c r="E152" s="5" t="s">
        <v>357</v>
      </c>
      <c r="F152" s="5" t="s">
        <v>57</v>
      </c>
      <c r="G152" s="5" t="s">
        <v>58</v>
      </c>
      <c r="H152" s="5" t="n">
        <v>0</v>
      </c>
      <c r="I152" s="5" t="n">
        <v>0</v>
      </c>
      <c r="J152" s="5" t="n">
        <v>11</v>
      </c>
      <c r="K152" s="5" t="n">
        <v>4</v>
      </c>
      <c r="L152" s="5" t="n">
        <f aca="false">J152-K152</f>
        <v>7</v>
      </c>
      <c r="M152" s="11" t="n">
        <f aca="false">IF(J152=0,0,K152/J152)</f>
        <v>0.363636363636364</v>
      </c>
    </row>
    <row r="153" customFormat="false" ht="15" hidden="false" customHeight="false" outlineLevel="0" collapsed="false">
      <c r="A153" s="5" t="s">
        <v>358</v>
      </c>
      <c r="B153" s="5" t="s">
        <v>60</v>
      </c>
      <c r="C153" s="5" t="s">
        <v>48</v>
      </c>
      <c r="D153" s="5" t="s">
        <v>359</v>
      </c>
      <c r="E153" s="5" t="s">
        <v>64</v>
      </c>
      <c r="F153" s="5" t="s">
        <v>57</v>
      </c>
      <c r="G153" s="5" t="s">
        <v>58</v>
      </c>
      <c r="H153" s="5" t="n">
        <v>0</v>
      </c>
      <c r="I153" s="5" t="n">
        <v>0</v>
      </c>
      <c r="J153" s="5" t="n">
        <v>9</v>
      </c>
      <c r="K153" s="5" t="n">
        <v>8</v>
      </c>
      <c r="L153" s="5" t="n">
        <f aca="false">J153-K153</f>
        <v>1</v>
      </c>
      <c r="M153" s="11" t="n">
        <f aca="false">IF(J153=0,0,K153/J153)</f>
        <v>0.888888888888889</v>
      </c>
    </row>
    <row r="154" customFormat="false" ht="15" hidden="false" customHeight="false" outlineLevel="0" collapsed="false">
      <c r="A154" s="5" t="s">
        <v>360</v>
      </c>
      <c r="B154" s="5" t="s">
        <v>60</v>
      </c>
      <c r="C154" s="5" t="s">
        <v>48</v>
      </c>
      <c r="D154" s="5" t="s">
        <v>361</v>
      </c>
      <c r="E154" s="5" t="s">
        <v>362</v>
      </c>
      <c r="F154" s="5" t="s">
        <v>57</v>
      </c>
      <c r="G154" s="5" t="s">
        <v>58</v>
      </c>
      <c r="H154" s="5" t="n">
        <v>0</v>
      </c>
      <c r="I154" s="5" t="n">
        <v>0</v>
      </c>
      <c r="J154" s="5" t="n">
        <v>15</v>
      </c>
      <c r="K154" s="5" t="n">
        <v>10</v>
      </c>
      <c r="L154" s="5" t="n">
        <f aca="false">J154-K154</f>
        <v>5</v>
      </c>
      <c r="M154" s="11" t="n">
        <f aca="false">IF(J154=0,0,K154/J154)</f>
        <v>0.666666666666667</v>
      </c>
    </row>
    <row r="155" customFormat="false" ht="15" hidden="false" customHeight="false" outlineLevel="0" collapsed="false">
      <c r="A155" s="5" t="s">
        <v>363</v>
      </c>
      <c r="B155" s="5" t="s">
        <v>60</v>
      </c>
      <c r="C155" s="5" t="s">
        <v>48</v>
      </c>
      <c r="D155" s="5" t="s">
        <v>364</v>
      </c>
      <c r="E155" s="5" t="s">
        <v>64</v>
      </c>
      <c r="F155" s="5" t="s">
        <v>57</v>
      </c>
      <c r="G155" s="5" t="s">
        <v>58</v>
      </c>
      <c r="H155" s="5" t="n">
        <v>0</v>
      </c>
      <c r="I155" s="5" t="n">
        <v>0</v>
      </c>
      <c r="J155" s="5" t="n">
        <v>10</v>
      </c>
      <c r="K155" s="5" t="n">
        <v>9</v>
      </c>
      <c r="L155" s="5" t="n">
        <f aca="false">J155-K155</f>
        <v>1</v>
      </c>
      <c r="M155" s="11" t="n">
        <f aca="false">IF(J155=0,0,K155/J155)</f>
        <v>0.9</v>
      </c>
    </row>
    <row r="156" customFormat="false" ht="15" hidden="false" customHeight="false" outlineLevel="0" collapsed="false">
      <c r="A156" s="5" t="s">
        <v>365</v>
      </c>
      <c r="B156" s="5" t="s">
        <v>60</v>
      </c>
      <c r="C156" s="5" t="s">
        <v>48</v>
      </c>
      <c r="D156" s="5" t="s">
        <v>366</v>
      </c>
      <c r="E156" s="5" t="s">
        <v>130</v>
      </c>
      <c r="F156" s="5" t="s">
        <v>57</v>
      </c>
      <c r="G156" s="5" t="s">
        <v>58</v>
      </c>
      <c r="H156" s="5" t="n">
        <v>0</v>
      </c>
      <c r="I156" s="5" t="n">
        <v>0</v>
      </c>
      <c r="J156" s="5" t="n">
        <v>23</v>
      </c>
      <c r="K156" s="5" t="n">
        <v>20</v>
      </c>
      <c r="L156" s="5" t="n">
        <f aca="false">J156-K156</f>
        <v>3</v>
      </c>
      <c r="M156" s="11" t="n">
        <f aca="false">IF(J156=0,0,K156/J156)</f>
        <v>0.869565217391304</v>
      </c>
    </row>
    <row r="157" customFormat="false" ht="15" hidden="false" customHeight="false" outlineLevel="0" collapsed="false">
      <c r="A157" s="5" t="s">
        <v>367</v>
      </c>
      <c r="B157" s="5" t="s">
        <v>60</v>
      </c>
      <c r="C157" s="5" t="s">
        <v>48</v>
      </c>
      <c r="D157" s="5" t="s">
        <v>346</v>
      </c>
      <c r="E157" s="5" t="s">
        <v>337</v>
      </c>
      <c r="F157" s="5" t="s">
        <v>57</v>
      </c>
      <c r="G157" s="5" t="s">
        <v>58</v>
      </c>
      <c r="H157" s="5" t="n">
        <v>0</v>
      </c>
      <c r="I157" s="5" t="n">
        <v>0</v>
      </c>
      <c r="J157" s="5" t="n">
        <v>7</v>
      </c>
      <c r="K157" s="5" t="n">
        <v>3</v>
      </c>
      <c r="L157" s="5" t="n">
        <f aca="false">J157-K157</f>
        <v>4</v>
      </c>
      <c r="M157" s="11" t="n">
        <f aca="false">IF(J157=0,0,K157/J157)</f>
        <v>0.428571428571429</v>
      </c>
    </row>
    <row r="158" customFormat="false" ht="15" hidden="false" customHeight="false" outlineLevel="0" collapsed="false">
      <c r="A158" s="5" t="s">
        <v>368</v>
      </c>
      <c r="B158" s="5" t="s">
        <v>60</v>
      </c>
      <c r="C158" s="5" t="s">
        <v>48</v>
      </c>
      <c r="D158" s="5" t="s">
        <v>346</v>
      </c>
      <c r="E158" s="5" t="s">
        <v>344</v>
      </c>
      <c r="F158" s="5" t="s">
        <v>57</v>
      </c>
      <c r="G158" s="5" t="s">
        <v>58</v>
      </c>
      <c r="H158" s="5" t="n">
        <v>0</v>
      </c>
      <c r="I158" s="5" t="n">
        <v>0</v>
      </c>
      <c r="J158" s="5" t="n">
        <v>8</v>
      </c>
      <c r="K158" s="5" t="n">
        <v>4</v>
      </c>
      <c r="L158" s="5" t="n">
        <f aca="false">J158-K158</f>
        <v>4</v>
      </c>
      <c r="M158" s="11" t="n">
        <f aca="false">IF(J158=0,0,K158/J158)</f>
        <v>0.5</v>
      </c>
    </row>
    <row r="159" customFormat="false" ht="15" hidden="false" customHeight="false" outlineLevel="0" collapsed="false">
      <c r="A159" s="5" t="s">
        <v>369</v>
      </c>
      <c r="B159" s="5" t="s">
        <v>60</v>
      </c>
      <c r="C159" s="5" t="s">
        <v>48</v>
      </c>
      <c r="D159" s="5" t="s">
        <v>370</v>
      </c>
      <c r="E159" s="5" t="s">
        <v>64</v>
      </c>
      <c r="F159" s="5" t="s">
        <v>57</v>
      </c>
      <c r="G159" s="5" t="s">
        <v>58</v>
      </c>
      <c r="H159" s="5" t="n">
        <v>0</v>
      </c>
      <c r="I159" s="5" t="n">
        <v>0</v>
      </c>
      <c r="J159" s="5" t="n">
        <v>17</v>
      </c>
      <c r="K159" s="5" t="n">
        <v>12</v>
      </c>
      <c r="L159" s="5" t="n">
        <f aca="false">J159-K159</f>
        <v>5</v>
      </c>
      <c r="M159" s="11" t="n">
        <f aca="false">IF(J159=0,0,K159/J159)</f>
        <v>0.705882352941177</v>
      </c>
    </row>
    <row r="160" customFormat="false" ht="15" hidden="false" customHeight="false" outlineLevel="0" collapsed="false">
      <c r="A160" s="5" t="s">
        <v>371</v>
      </c>
      <c r="B160" s="5" t="s">
        <v>60</v>
      </c>
      <c r="C160" s="5" t="s">
        <v>48</v>
      </c>
      <c r="D160" s="5" t="s">
        <v>372</v>
      </c>
      <c r="E160" s="5" t="s">
        <v>64</v>
      </c>
      <c r="F160" s="5" t="s">
        <v>57</v>
      </c>
      <c r="G160" s="5" t="s">
        <v>58</v>
      </c>
      <c r="H160" s="5" t="n">
        <v>0</v>
      </c>
      <c r="I160" s="5" t="n">
        <v>0</v>
      </c>
      <c r="J160" s="5" t="n">
        <v>22</v>
      </c>
      <c r="K160" s="5" t="n">
        <v>15</v>
      </c>
      <c r="L160" s="5" t="n">
        <f aca="false">J160-K160</f>
        <v>7</v>
      </c>
      <c r="M160" s="11" t="n">
        <f aca="false">IF(J160=0,0,K160/J160)</f>
        <v>0.681818181818182</v>
      </c>
    </row>
    <row r="161" customFormat="false" ht="15" hidden="false" customHeight="false" outlineLevel="0" collapsed="false">
      <c r="A161" s="5" t="s">
        <v>373</v>
      </c>
      <c r="B161" s="5" t="s">
        <v>47</v>
      </c>
      <c r="C161" s="5" t="s">
        <v>48</v>
      </c>
      <c r="D161" s="5" t="s">
        <v>374</v>
      </c>
      <c r="E161" s="5" t="s">
        <v>64</v>
      </c>
      <c r="F161" s="5" t="s">
        <v>51</v>
      </c>
      <c r="G161" s="5" t="s">
        <v>52</v>
      </c>
      <c r="H161" s="5" t="n">
        <v>8</v>
      </c>
      <c r="I161" s="5" t="n">
        <v>8</v>
      </c>
      <c r="J161" s="5" t="n">
        <v>7</v>
      </c>
      <c r="K161" s="5" t="n">
        <v>7</v>
      </c>
      <c r="L161" s="5" t="n">
        <f aca="false">J161-K161</f>
        <v>0</v>
      </c>
      <c r="M161" s="11" t="n">
        <f aca="false">IF(J161=0,0,K161/J161)</f>
        <v>1</v>
      </c>
    </row>
    <row r="162" customFormat="false" ht="15" hidden="false" customHeight="false" outlineLevel="0" collapsed="false">
      <c r="A162" s="5" t="s">
        <v>375</v>
      </c>
      <c r="B162" s="5" t="s">
        <v>60</v>
      </c>
      <c r="C162" s="5" t="s">
        <v>48</v>
      </c>
      <c r="D162" s="5" t="s">
        <v>337</v>
      </c>
      <c r="E162" s="5" t="s">
        <v>376</v>
      </c>
      <c r="F162" s="5" t="s">
        <v>57</v>
      </c>
      <c r="G162" s="5" t="s">
        <v>58</v>
      </c>
      <c r="H162" s="5" t="n">
        <v>0</v>
      </c>
      <c r="I162" s="5" t="n">
        <v>0</v>
      </c>
      <c r="J162" s="5" t="n">
        <v>8</v>
      </c>
      <c r="K162" s="5" t="n">
        <v>5</v>
      </c>
      <c r="L162" s="5" t="n">
        <f aca="false">J162-K162</f>
        <v>3</v>
      </c>
      <c r="M162" s="11" t="n">
        <f aca="false">IF(J162=0,0,K162/J162)</f>
        <v>0.625</v>
      </c>
    </row>
    <row r="163" customFormat="false" ht="15" hidden="false" customHeight="false" outlineLevel="0" collapsed="false">
      <c r="A163" s="5" t="s">
        <v>377</v>
      </c>
      <c r="B163" s="5" t="s">
        <v>60</v>
      </c>
      <c r="C163" s="5" t="s">
        <v>48</v>
      </c>
      <c r="D163" s="5" t="s">
        <v>378</v>
      </c>
      <c r="E163" s="5" t="s">
        <v>64</v>
      </c>
      <c r="F163" s="5" t="s">
        <v>57</v>
      </c>
      <c r="G163" s="5" t="s">
        <v>58</v>
      </c>
      <c r="H163" s="5" t="n">
        <v>0</v>
      </c>
      <c r="I163" s="5" t="n">
        <v>0</v>
      </c>
      <c r="J163" s="5" t="n">
        <v>19</v>
      </c>
      <c r="K163" s="5" t="n">
        <v>18</v>
      </c>
      <c r="L163" s="5" t="n">
        <f aca="false">J163-K163</f>
        <v>1</v>
      </c>
      <c r="M163" s="11" t="n">
        <f aca="false">IF(J163=0,0,K163/J163)</f>
        <v>0.947368421052632</v>
      </c>
    </row>
    <row r="164" customFormat="false" ht="15" hidden="false" customHeight="false" outlineLevel="0" collapsed="false">
      <c r="A164" s="5" t="s">
        <v>379</v>
      </c>
      <c r="B164" s="5" t="s">
        <v>60</v>
      </c>
      <c r="C164" s="5" t="s">
        <v>48</v>
      </c>
      <c r="D164" s="5" t="s">
        <v>380</v>
      </c>
      <c r="E164" s="5" t="s">
        <v>130</v>
      </c>
      <c r="F164" s="5" t="s">
        <v>57</v>
      </c>
      <c r="G164" s="5" t="s">
        <v>58</v>
      </c>
      <c r="H164" s="5" t="n">
        <v>0</v>
      </c>
      <c r="I164" s="5" t="n">
        <v>0</v>
      </c>
      <c r="J164" s="5" t="n">
        <v>23</v>
      </c>
      <c r="K164" s="5" t="n">
        <v>22</v>
      </c>
      <c r="L164" s="5" t="n">
        <f aca="false">J164-K164</f>
        <v>1</v>
      </c>
      <c r="M164" s="11" t="n">
        <f aca="false">IF(J164=0,0,K164/J164)</f>
        <v>0.956521739130435</v>
      </c>
    </row>
    <row r="165" customFormat="false" ht="15" hidden="false" customHeight="false" outlineLevel="0" collapsed="false">
      <c r="A165" s="5" t="s">
        <v>381</v>
      </c>
      <c r="B165" s="5" t="s">
        <v>60</v>
      </c>
      <c r="C165" s="5" t="s">
        <v>48</v>
      </c>
      <c r="D165" s="5" t="s">
        <v>382</v>
      </c>
      <c r="E165" s="5" t="s">
        <v>130</v>
      </c>
      <c r="F165" s="5" t="s">
        <v>57</v>
      </c>
      <c r="G165" s="5" t="s">
        <v>58</v>
      </c>
      <c r="H165" s="5" t="n">
        <v>0</v>
      </c>
      <c r="I165" s="5" t="n">
        <v>0</v>
      </c>
      <c r="J165" s="5" t="n">
        <v>23</v>
      </c>
      <c r="K165" s="5" t="n">
        <v>20</v>
      </c>
      <c r="L165" s="5" t="n">
        <f aca="false">J165-K165</f>
        <v>3</v>
      </c>
      <c r="M165" s="11" t="n">
        <f aca="false">IF(J165=0,0,K165/J165)</f>
        <v>0.869565217391304</v>
      </c>
    </row>
    <row r="166" customFormat="false" ht="15" hidden="false" customHeight="false" outlineLevel="0" collapsed="false">
      <c r="A166" s="5" t="s">
        <v>383</v>
      </c>
      <c r="B166" s="5" t="s">
        <v>60</v>
      </c>
      <c r="C166" s="5" t="s">
        <v>48</v>
      </c>
      <c r="D166" s="5" t="s">
        <v>384</v>
      </c>
      <c r="E166" s="5" t="s">
        <v>183</v>
      </c>
      <c r="F166" s="5" t="s">
        <v>57</v>
      </c>
      <c r="G166" s="5" t="s">
        <v>58</v>
      </c>
      <c r="H166" s="5" t="n">
        <v>0</v>
      </c>
      <c r="I166" s="5" t="n">
        <v>0</v>
      </c>
      <c r="J166" s="5" t="n">
        <v>14</v>
      </c>
      <c r="K166" s="5" t="n">
        <v>10</v>
      </c>
      <c r="L166" s="5" t="n">
        <f aca="false">J166-K166</f>
        <v>4</v>
      </c>
      <c r="M166" s="11" t="n">
        <f aca="false">IF(J166=0,0,K166/J166)</f>
        <v>0.714285714285714</v>
      </c>
    </row>
    <row r="167" customFormat="false" ht="15" hidden="false" customHeight="false" outlineLevel="0" collapsed="false">
      <c r="A167" s="5" t="s">
        <v>385</v>
      </c>
      <c r="B167" s="5" t="s">
        <v>60</v>
      </c>
      <c r="C167" s="5" t="s">
        <v>48</v>
      </c>
      <c r="D167" s="5" t="s">
        <v>193</v>
      </c>
      <c r="E167" s="5" t="s">
        <v>218</v>
      </c>
      <c r="F167" s="5" t="s">
        <v>57</v>
      </c>
      <c r="G167" s="5" t="s">
        <v>58</v>
      </c>
      <c r="H167" s="5" t="n">
        <v>0</v>
      </c>
      <c r="I167" s="5" t="n">
        <v>0</v>
      </c>
      <c r="J167" s="5" t="n">
        <v>20</v>
      </c>
      <c r="K167" s="5" t="n">
        <v>16</v>
      </c>
      <c r="L167" s="5" t="n">
        <f aca="false">J167-K167</f>
        <v>4</v>
      </c>
      <c r="M167" s="11" t="n">
        <f aca="false">IF(J167=0,0,K167/J167)</f>
        <v>0.8</v>
      </c>
    </row>
    <row r="168" customFormat="false" ht="15" hidden="false" customHeight="false" outlineLevel="0" collapsed="false">
      <c r="A168" s="5" t="s">
        <v>386</v>
      </c>
      <c r="B168" s="5" t="s">
        <v>60</v>
      </c>
      <c r="C168" s="5" t="s">
        <v>48</v>
      </c>
      <c r="D168" s="5" t="s">
        <v>387</v>
      </c>
      <c r="E168" s="5" t="s">
        <v>130</v>
      </c>
      <c r="F168" s="5" t="s">
        <v>57</v>
      </c>
      <c r="G168" s="5" t="s">
        <v>58</v>
      </c>
      <c r="H168" s="5" t="n">
        <v>0</v>
      </c>
      <c r="I168" s="5" t="n">
        <v>0</v>
      </c>
      <c r="J168" s="5" t="n">
        <v>24</v>
      </c>
      <c r="K168" s="5" t="n">
        <v>21</v>
      </c>
      <c r="L168" s="5" t="n">
        <f aca="false">J168-K168</f>
        <v>3</v>
      </c>
      <c r="M168" s="11" t="n">
        <f aca="false">IF(J168=0,0,K168/J168)</f>
        <v>0.875</v>
      </c>
    </row>
    <row r="169" customFormat="false" ht="15" hidden="false" customHeight="false" outlineLevel="0" collapsed="false">
      <c r="A169" s="5" t="s">
        <v>388</v>
      </c>
      <c r="B169" s="5" t="s">
        <v>47</v>
      </c>
      <c r="C169" s="5" t="s">
        <v>48</v>
      </c>
      <c r="D169" s="5" t="s">
        <v>389</v>
      </c>
      <c r="E169" s="5" t="s">
        <v>56</v>
      </c>
      <c r="F169" s="5" t="s">
        <v>51</v>
      </c>
      <c r="G169" s="5" t="s">
        <v>52</v>
      </c>
      <c r="H169" s="5" t="n">
        <v>7</v>
      </c>
      <c r="I169" s="5" t="n">
        <v>7</v>
      </c>
      <c r="J169" s="5" t="n">
        <v>7</v>
      </c>
      <c r="K169" s="5" t="n">
        <v>7</v>
      </c>
      <c r="L169" s="5" t="n">
        <f aca="false">J169-K169</f>
        <v>0</v>
      </c>
      <c r="M169" s="11" t="n">
        <f aca="false">IF(J169=0,0,K169/J169)</f>
        <v>1</v>
      </c>
    </row>
    <row r="170" customFormat="false" ht="15" hidden="false" customHeight="false" outlineLevel="0" collapsed="false">
      <c r="A170" s="5" t="s">
        <v>390</v>
      </c>
      <c r="B170" s="5" t="s">
        <v>60</v>
      </c>
      <c r="C170" s="5" t="s">
        <v>48</v>
      </c>
      <c r="D170" s="5" t="s">
        <v>391</v>
      </c>
      <c r="E170" s="5" t="s">
        <v>56</v>
      </c>
      <c r="F170" s="5" t="s">
        <v>57</v>
      </c>
      <c r="G170" s="5" t="s">
        <v>58</v>
      </c>
      <c r="H170" s="5" t="n">
        <v>0</v>
      </c>
      <c r="I170" s="5" t="n">
        <v>0</v>
      </c>
      <c r="J170" s="5" t="n">
        <v>13</v>
      </c>
      <c r="K170" s="5" t="n">
        <v>9</v>
      </c>
      <c r="L170" s="5" t="n">
        <f aca="false">J170-K170</f>
        <v>4</v>
      </c>
      <c r="M170" s="11" t="n">
        <f aca="false">IF(J170=0,0,K170/J170)</f>
        <v>0.692307692307692</v>
      </c>
    </row>
    <row r="171" customFormat="false" ht="15" hidden="false" customHeight="false" outlineLevel="0" collapsed="false">
      <c r="A171" s="5" t="s">
        <v>392</v>
      </c>
      <c r="B171" s="5" t="s">
        <v>47</v>
      </c>
      <c r="C171" s="5" t="s">
        <v>48</v>
      </c>
      <c r="D171" s="5" t="s">
        <v>393</v>
      </c>
      <c r="E171" s="5" t="s">
        <v>56</v>
      </c>
      <c r="F171" s="5" t="s">
        <v>51</v>
      </c>
      <c r="G171" s="5" t="s">
        <v>52</v>
      </c>
      <c r="H171" s="5" t="n">
        <v>7</v>
      </c>
      <c r="I171" s="5" t="n">
        <v>7</v>
      </c>
      <c r="J171" s="5" t="n">
        <v>7</v>
      </c>
      <c r="K171" s="5" t="n">
        <v>7</v>
      </c>
      <c r="L171" s="5" t="n">
        <f aca="false">J171-K171</f>
        <v>0</v>
      </c>
      <c r="M171" s="11" t="n">
        <f aca="false">IF(J171=0,0,K171/J171)</f>
        <v>1</v>
      </c>
    </row>
    <row r="172" customFormat="false" ht="15" hidden="false" customHeight="false" outlineLevel="0" collapsed="false">
      <c r="A172" s="5" t="s">
        <v>394</v>
      </c>
      <c r="B172" s="5" t="s">
        <v>60</v>
      </c>
      <c r="C172" s="5" t="s">
        <v>48</v>
      </c>
      <c r="D172" s="5" t="s">
        <v>395</v>
      </c>
      <c r="E172" s="5" t="s">
        <v>64</v>
      </c>
      <c r="F172" s="5" t="s">
        <v>57</v>
      </c>
      <c r="G172" s="5" t="s">
        <v>58</v>
      </c>
      <c r="H172" s="5" t="n">
        <v>0</v>
      </c>
      <c r="I172" s="5" t="n">
        <v>0</v>
      </c>
      <c r="J172" s="5" t="n">
        <v>15</v>
      </c>
      <c r="K172" s="5" t="n">
        <v>13</v>
      </c>
      <c r="L172" s="5" t="n">
        <f aca="false">J172-K172</f>
        <v>2</v>
      </c>
      <c r="M172" s="11" t="n">
        <f aca="false">IF(J172=0,0,K172/J172)</f>
        <v>0.866666666666667</v>
      </c>
    </row>
    <row r="173" customFormat="false" ht="15" hidden="false" customHeight="false" outlineLevel="0" collapsed="false">
      <c r="A173" s="5" t="s">
        <v>396</v>
      </c>
      <c r="B173" s="5" t="s">
        <v>60</v>
      </c>
      <c r="C173" s="5" t="s">
        <v>48</v>
      </c>
      <c r="D173" s="5" t="s">
        <v>395</v>
      </c>
      <c r="E173" s="5" t="s">
        <v>64</v>
      </c>
      <c r="F173" s="5" t="s">
        <v>57</v>
      </c>
      <c r="G173" s="5" t="s">
        <v>58</v>
      </c>
      <c r="H173" s="5" t="n">
        <v>0</v>
      </c>
      <c r="I173" s="5" t="n">
        <v>0</v>
      </c>
      <c r="J173" s="5" t="n">
        <v>16</v>
      </c>
      <c r="K173" s="5" t="n">
        <v>16</v>
      </c>
      <c r="L173" s="5" t="n">
        <f aca="false">J173-K173</f>
        <v>0</v>
      </c>
      <c r="M173" s="11" t="n">
        <f aca="false">IF(J173=0,0,K173/J173)</f>
        <v>1</v>
      </c>
    </row>
    <row r="174" customFormat="false" ht="15" hidden="false" customHeight="false" outlineLevel="0" collapsed="false">
      <c r="A174" s="5" t="s">
        <v>397</v>
      </c>
      <c r="B174" s="5" t="s">
        <v>60</v>
      </c>
      <c r="C174" s="5" t="s">
        <v>48</v>
      </c>
      <c r="D174" s="5" t="s">
        <v>193</v>
      </c>
      <c r="E174" s="5" t="s">
        <v>398</v>
      </c>
      <c r="F174" s="5" t="s">
        <v>57</v>
      </c>
      <c r="G174" s="5" t="s">
        <v>58</v>
      </c>
      <c r="H174" s="5" t="n">
        <v>0</v>
      </c>
      <c r="I174" s="5" t="n">
        <v>0</v>
      </c>
      <c r="J174" s="5" t="n">
        <v>17</v>
      </c>
      <c r="K174" s="5" t="n">
        <v>10</v>
      </c>
      <c r="L174" s="5" t="n">
        <f aca="false">J174-K174</f>
        <v>7</v>
      </c>
      <c r="M174" s="11" t="n">
        <f aca="false">IF(J174=0,0,K174/J174)</f>
        <v>0.588235294117647</v>
      </c>
    </row>
    <row r="175" customFormat="false" ht="15" hidden="false" customHeight="false" outlineLevel="0" collapsed="false">
      <c r="A175" s="5" t="s">
        <v>399</v>
      </c>
      <c r="B175" s="5" t="s">
        <v>60</v>
      </c>
      <c r="C175" s="5" t="s">
        <v>48</v>
      </c>
      <c r="D175" s="5" t="s">
        <v>193</v>
      </c>
      <c r="E175" s="5" t="s">
        <v>400</v>
      </c>
      <c r="F175" s="5" t="s">
        <v>57</v>
      </c>
      <c r="G175" s="5" t="s">
        <v>58</v>
      </c>
      <c r="H175" s="5" t="n">
        <v>0</v>
      </c>
      <c r="I175" s="5" t="n">
        <v>0</v>
      </c>
      <c r="J175" s="5" t="n">
        <v>24</v>
      </c>
      <c r="K175" s="5" t="n">
        <v>17</v>
      </c>
      <c r="L175" s="5" t="n">
        <f aca="false">J175-K175</f>
        <v>7</v>
      </c>
      <c r="M175" s="11" t="n">
        <f aca="false">IF(J175=0,0,K175/J175)</f>
        <v>0.708333333333333</v>
      </c>
    </row>
    <row r="176" customFormat="false" ht="15" hidden="false" customHeight="false" outlineLevel="0" collapsed="false">
      <c r="A176" s="5" t="s">
        <v>401</v>
      </c>
      <c r="B176" s="5" t="s">
        <v>60</v>
      </c>
      <c r="C176" s="5" t="s">
        <v>48</v>
      </c>
      <c r="D176" s="5" t="s">
        <v>402</v>
      </c>
      <c r="E176" s="5" t="s">
        <v>130</v>
      </c>
      <c r="F176" s="5" t="s">
        <v>57</v>
      </c>
      <c r="G176" s="5" t="s">
        <v>58</v>
      </c>
      <c r="H176" s="5" t="n">
        <v>0</v>
      </c>
      <c r="I176" s="5" t="n">
        <v>0</v>
      </c>
      <c r="J176" s="5" t="n">
        <v>27</v>
      </c>
      <c r="K176" s="5" t="n">
        <v>24</v>
      </c>
      <c r="L176" s="5" t="n">
        <f aca="false">J176-K176</f>
        <v>3</v>
      </c>
      <c r="M176" s="11" t="n">
        <f aca="false">IF(J176=0,0,K176/J176)</f>
        <v>0.888888888888889</v>
      </c>
    </row>
    <row r="177" customFormat="false" ht="15" hidden="false" customHeight="false" outlineLevel="0" collapsed="false">
      <c r="A177" s="5" t="s">
        <v>403</v>
      </c>
      <c r="B177" s="5" t="s">
        <v>60</v>
      </c>
      <c r="C177" s="5" t="s">
        <v>48</v>
      </c>
      <c r="D177" s="5" t="s">
        <v>404</v>
      </c>
      <c r="E177" s="5" t="s">
        <v>378</v>
      </c>
      <c r="F177" s="5" t="s">
        <v>57</v>
      </c>
      <c r="G177" s="5" t="s">
        <v>58</v>
      </c>
      <c r="H177" s="5" t="n">
        <v>0</v>
      </c>
      <c r="I177" s="5" t="n">
        <v>0</v>
      </c>
      <c r="J177" s="5" t="n">
        <v>15</v>
      </c>
      <c r="K177" s="5" t="n">
        <v>11</v>
      </c>
      <c r="L177" s="5" t="n">
        <f aca="false">J177-K177</f>
        <v>4</v>
      </c>
      <c r="M177" s="11" t="n">
        <f aca="false">IF(J177=0,0,K177/J177)</f>
        <v>0.733333333333333</v>
      </c>
    </row>
    <row r="178" customFormat="false" ht="15" hidden="false" customHeight="false" outlineLevel="0" collapsed="false">
      <c r="A178" s="5" t="s">
        <v>405</v>
      </c>
      <c r="B178" s="5" t="s">
        <v>60</v>
      </c>
      <c r="C178" s="5" t="s">
        <v>48</v>
      </c>
      <c r="D178" s="5" t="s">
        <v>193</v>
      </c>
      <c r="E178" s="5" t="s">
        <v>406</v>
      </c>
      <c r="F178" s="5" t="s">
        <v>57</v>
      </c>
      <c r="G178" s="5" t="s">
        <v>58</v>
      </c>
      <c r="H178" s="5" t="n">
        <v>0</v>
      </c>
      <c r="I178" s="5" t="n">
        <v>0</v>
      </c>
      <c r="J178" s="5" t="n">
        <v>16</v>
      </c>
      <c r="K178" s="5" t="n">
        <v>9</v>
      </c>
      <c r="L178" s="5" t="n">
        <f aca="false">J178-K178</f>
        <v>7</v>
      </c>
      <c r="M178" s="11" t="n">
        <f aca="false">IF(J178=0,0,K178/J178)</f>
        <v>0.5625</v>
      </c>
    </row>
    <row r="179" customFormat="false" ht="15" hidden="false" customHeight="false" outlineLevel="0" collapsed="false">
      <c r="A179" s="5" t="s">
        <v>407</v>
      </c>
      <c r="B179" s="5" t="s">
        <v>60</v>
      </c>
      <c r="C179" s="5" t="s">
        <v>48</v>
      </c>
      <c r="D179" s="5" t="s">
        <v>193</v>
      </c>
      <c r="E179" s="5" t="s">
        <v>408</v>
      </c>
      <c r="F179" s="5" t="s">
        <v>57</v>
      </c>
      <c r="G179" s="5" t="s">
        <v>58</v>
      </c>
      <c r="H179" s="5" t="n">
        <v>0</v>
      </c>
      <c r="I179" s="5" t="n">
        <v>0</v>
      </c>
      <c r="J179" s="5" t="n">
        <v>16</v>
      </c>
      <c r="K179" s="5" t="n">
        <v>11</v>
      </c>
      <c r="L179" s="5" t="n">
        <f aca="false">J179-K179</f>
        <v>5</v>
      </c>
      <c r="M179" s="11" t="n">
        <f aca="false">IF(J179=0,0,K179/J179)</f>
        <v>0.6875</v>
      </c>
    </row>
    <row r="180" customFormat="false" ht="15" hidden="false" customHeight="false" outlineLevel="0" collapsed="false">
      <c r="A180" s="5" t="s">
        <v>409</v>
      </c>
      <c r="B180" s="5" t="s">
        <v>60</v>
      </c>
      <c r="C180" s="5" t="s">
        <v>48</v>
      </c>
      <c r="D180" s="5" t="s">
        <v>193</v>
      </c>
      <c r="E180" s="5" t="s">
        <v>404</v>
      </c>
      <c r="F180" s="5" t="s">
        <v>57</v>
      </c>
      <c r="G180" s="5" t="s">
        <v>58</v>
      </c>
      <c r="H180" s="5" t="n">
        <v>0</v>
      </c>
      <c r="I180" s="5" t="n">
        <v>0</v>
      </c>
      <c r="J180" s="5" t="n">
        <v>20</v>
      </c>
      <c r="K180" s="5" t="n">
        <v>11</v>
      </c>
      <c r="L180" s="5" t="n">
        <f aca="false">J180-K180</f>
        <v>9</v>
      </c>
      <c r="M180" s="11" t="n">
        <f aca="false">IF(J180=0,0,K180/J180)</f>
        <v>0.55</v>
      </c>
    </row>
    <row r="181" customFormat="false" ht="15" hidden="false" customHeight="false" outlineLevel="0" collapsed="false">
      <c r="A181" s="5" t="s">
        <v>410</v>
      </c>
      <c r="B181" s="5" t="s">
        <v>47</v>
      </c>
      <c r="C181" s="5" t="s">
        <v>48</v>
      </c>
      <c r="D181" s="5" t="s">
        <v>193</v>
      </c>
      <c r="E181" s="5" t="s">
        <v>411</v>
      </c>
      <c r="F181" s="5" t="s">
        <v>51</v>
      </c>
      <c r="G181" s="5" t="s">
        <v>52</v>
      </c>
      <c r="H181" s="5" t="n">
        <v>7</v>
      </c>
      <c r="I181" s="5" t="n">
        <v>7</v>
      </c>
      <c r="J181" s="5" t="n">
        <v>6</v>
      </c>
      <c r="K181" s="5" t="n">
        <v>6</v>
      </c>
      <c r="L181" s="5" t="n">
        <f aca="false">J181-K181</f>
        <v>0</v>
      </c>
      <c r="M181" s="11" t="n">
        <f aca="false">IF(J181=0,0,K181/J181)</f>
        <v>1</v>
      </c>
    </row>
    <row r="182" customFormat="false" ht="15" hidden="false" customHeight="false" outlineLevel="0" collapsed="false">
      <c r="A182" s="5" t="s">
        <v>412</v>
      </c>
      <c r="B182" s="5" t="s">
        <v>60</v>
      </c>
      <c r="C182" s="5" t="s">
        <v>48</v>
      </c>
      <c r="D182" s="5" t="s">
        <v>411</v>
      </c>
      <c r="E182" s="5" t="s">
        <v>413</v>
      </c>
      <c r="F182" s="5" t="s">
        <v>57</v>
      </c>
      <c r="G182" s="5" t="s">
        <v>58</v>
      </c>
      <c r="H182" s="5" t="n">
        <v>0</v>
      </c>
      <c r="I182" s="5" t="n">
        <v>0</v>
      </c>
      <c r="J182" s="5" t="n">
        <v>29</v>
      </c>
      <c r="K182" s="5" t="n">
        <v>20</v>
      </c>
      <c r="L182" s="5" t="n">
        <f aca="false">J182-K182</f>
        <v>9</v>
      </c>
      <c r="M182" s="11" t="n">
        <f aca="false">IF(J182=0,0,K182/J182)</f>
        <v>0.689655172413793</v>
      </c>
    </row>
    <row r="183" customFormat="false" ht="15" hidden="false" customHeight="false" outlineLevel="0" collapsed="false">
      <c r="A183" s="5" t="s">
        <v>414</v>
      </c>
      <c r="B183" s="5" t="s">
        <v>60</v>
      </c>
      <c r="C183" s="5" t="s">
        <v>48</v>
      </c>
      <c r="D183" s="5" t="s">
        <v>411</v>
      </c>
      <c r="E183" s="5" t="s">
        <v>415</v>
      </c>
      <c r="F183" s="5" t="s">
        <v>57</v>
      </c>
      <c r="G183" s="5" t="s">
        <v>58</v>
      </c>
      <c r="H183" s="5" t="n">
        <v>0</v>
      </c>
      <c r="I183" s="5" t="n">
        <v>0</v>
      </c>
      <c r="J183" s="5" t="n">
        <v>29</v>
      </c>
      <c r="K183" s="5" t="n">
        <v>18</v>
      </c>
      <c r="L183" s="5" t="n">
        <f aca="false">J183-K183</f>
        <v>11</v>
      </c>
      <c r="M183" s="11" t="n">
        <f aca="false">IF(J183=0,0,K183/J183)</f>
        <v>0.620689655172414</v>
      </c>
    </row>
    <row r="184" customFormat="false" ht="15" hidden="false" customHeight="false" outlineLevel="0" collapsed="false">
      <c r="A184" s="5" t="s">
        <v>416</v>
      </c>
      <c r="B184" s="5" t="s">
        <v>60</v>
      </c>
      <c r="C184" s="5" t="s">
        <v>48</v>
      </c>
      <c r="D184" s="5" t="s">
        <v>411</v>
      </c>
      <c r="E184" s="5" t="s">
        <v>417</v>
      </c>
      <c r="F184" s="5" t="s">
        <v>57</v>
      </c>
      <c r="G184" s="5" t="s">
        <v>58</v>
      </c>
      <c r="H184" s="5" t="n">
        <v>0</v>
      </c>
      <c r="I184" s="5" t="n">
        <v>0</v>
      </c>
      <c r="J184" s="5" t="n">
        <v>22</v>
      </c>
      <c r="K184" s="5" t="n">
        <v>20</v>
      </c>
      <c r="L184" s="5" t="n">
        <f aca="false">J184-K184</f>
        <v>2</v>
      </c>
      <c r="M184" s="11" t="n">
        <f aca="false">IF(J184=0,0,K184/J184)</f>
        <v>0.909090909090909</v>
      </c>
    </row>
    <row r="185" customFormat="false" ht="15" hidden="false" customHeight="false" outlineLevel="0" collapsed="false">
      <c r="A185" s="5" t="s">
        <v>418</v>
      </c>
      <c r="B185" s="5" t="s">
        <v>60</v>
      </c>
      <c r="C185" s="5" t="s">
        <v>48</v>
      </c>
      <c r="D185" s="5" t="s">
        <v>419</v>
      </c>
      <c r="E185" s="5" t="s">
        <v>420</v>
      </c>
      <c r="F185" s="5" t="s">
        <v>57</v>
      </c>
      <c r="G185" s="5" t="s">
        <v>58</v>
      </c>
      <c r="H185" s="5" t="n">
        <v>0</v>
      </c>
      <c r="I185" s="5" t="n">
        <v>0</v>
      </c>
      <c r="J185" s="5" t="n">
        <v>12</v>
      </c>
      <c r="K185" s="5" t="n">
        <v>7</v>
      </c>
      <c r="L185" s="5" t="n">
        <f aca="false">J185-K185</f>
        <v>5</v>
      </c>
      <c r="M185" s="11" t="n">
        <f aca="false">IF(J185=0,0,K185/J185)</f>
        <v>0.583333333333333</v>
      </c>
    </row>
    <row r="186" customFormat="false" ht="15" hidden="false" customHeight="false" outlineLevel="0" collapsed="false">
      <c r="A186" s="5" t="s">
        <v>421</v>
      </c>
      <c r="B186" s="5" t="s">
        <v>60</v>
      </c>
      <c r="C186" s="5" t="s">
        <v>48</v>
      </c>
      <c r="D186" s="5" t="s">
        <v>419</v>
      </c>
      <c r="E186" s="5" t="s">
        <v>422</v>
      </c>
      <c r="F186" s="5" t="s">
        <v>57</v>
      </c>
      <c r="G186" s="5" t="s">
        <v>58</v>
      </c>
      <c r="H186" s="5" t="n">
        <v>0</v>
      </c>
      <c r="I186" s="5" t="n">
        <v>0</v>
      </c>
      <c r="J186" s="5" t="n">
        <v>12</v>
      </c>
      <c r="K186" s="5" t="n">
        <v>6</v>
      </c>
      <c r="L186" s="5" t="n">
        <f aca="false">J186-K186</f>
        <v>6</v>
      </c>
      <c r="M186" s="11" t="n">
        <f aca="false">IF(J186=0,0,K186/J186)</f>
        <v>0.5</v>
      </c>
    </row>
    <row r="187" customFormat="false" ht="15" hidden="false" customHeight="false" outlineLevel="0" collapsed="false">
      <c r="A187" s="5" t="s">
        <v>423</v>
      </c>
      <c r="B187" s="5" t="s">
        <v>60</v>
      </c>
      <c r="C187" s="5" t="s">
        <v>48</v>
      </c>
      <c r="D187" s="5" t="s">
        <v>141</v>
      </c>
      <c r="E187" s="5" t="s">
        <v>218</v>
      </c>
      <c r="F187" s="5" t="s">
        <v>57</v>
      </c>
      <c r="G187" s="5" t="s">
        <v>58</v>
      </c>
      <c r="H187" s="5" t="n">
        <v>0</v>
      </c>
      <c r="I187" s="5" t="n">
        <v>0</v>
      </c>
      <c r="J187" s="5" t="n">
        <v>25</v>
      </c>
      <c r="K187" s="5" t="n">
        <v>17</v>
      </c>
      <c r="L187" s="5" t="n">
        <f aca="false">J187-K187</f>
        <v>8</v>
      </c>
      <c r="M187" s="11" t="n">
        <f aca="false">IF(J187=0,0,K187/J187)</f>
        <v>0.68</v>
      </c>
    </row>
    <row r="188" customFormat="false" ht="15" hidden="false" customHeight="false" outlineLevel="0" collapsed="false">
      <c r="A188" s="5" t="s">
        <v>424</v>
      </c>
      <c r="B188" s="5" t="s">
        <v>60</v>
      </c>
      <c r="C188" s="5" t="s">
        <v>48</v>
      </c>
      <c r="D188" s="5" t="s">
        <v>419</v>
      </c>
      <c r="E188" s="5" t="s">
        <v>361</v>
      </c>
      <c r="F188" s="5" t="s">
        <v>57</v>
      </c>
      <c r="G188" s="5" t="s">
        <v>58</v>
      </c>
      <c r="H188" s="5" t="n">
        <v>0</v>
      </c>
      <c r="I188" s="5" t="n">
        <v>0</v>
      </c>
      <c r="J188" s="5" t="n">
        <v>14</v>
      </c>
      <c r="K188" s="5" t="n">
        <v>8</v>
      </c>
      <c r="L188" s="5" t="n">
        <f aca="false">J188-K188</f>
        <v>6</v>
      </c>
      <c r="M188" s="11" t="n">
        <f aca="false">IF(J188=0,0,K188/J188)</f>
        <v>0.571428571428571</v>
      </c>
    </row>
    <row r="189" customFormat="false" ht="15" hidden="false" customHeight="false" outlineLevel="0" collapsed="false">
      <c r="A189" s="5" t="s">
        <v>425</v>
      </c>
      <c r="B189" s="5" t="s">
        <v>60</v>
      </c>
      <c r="C189" s="5" t="s">
        <v>48</v>
      </c>
      <c r="D189" s="5" t="s">
        <v>419</v>
      </c>
      <c r="E189" s="5" t="s">
        <v>422</v>
      </c>
      <c r="F189" s="5" t="s">
        <v>57</v>
      </c>
      <c r="G189" s="5" t="s">
        <v>58</v>
      </c>
      <c r="H189" s="5" t="n">
        <v>0</v>
      </c>
      <c r="I189" s="5" t="n">
        <v>0</v>
      </c>
      <c r="J189" s="5" t="n">
        <v>11</v>
      </c>
      <c r="K189" s="5" t="n">
        <v>7</v>
      </c>
      <c r="L189" s="5" t="n">
        <f aca="false">J189-K189</f>
        <v>4</v>
      </c>
      <c r="M189" s="11" t="n">
        <f aca="false">IF(J189=0,0,K189/J189)</f>
        <v>0.636363636363636</v>
      </c>
    </row>
    <row r="190" customFormat="false" ht="15" hidden="false" customHeight="false" outlineLevel="0" collapsed="false">
      <c r="A190" s="5" t="s">
        <v>426</v>
      </c>
      <c r="B190" s="5" t="s">
        <v>60</v>
      </c>
      <c r="C190" s="5" t="s">
        <v>48</v>
      </c>
      <c r="D190" s="5" t="s">
        <v>419</v>
      </c>
      <c r="E190" s="5" t="s">
        <v>427</v>
      </c>
      <c r="F190" s="5" t="s">
        <v>57</v>
      </c>
      <c r="G190" s="5" t="s">
        <v>58</v>
      </c>
      <c r="H190" s="5" t="n">
        <v>0</v>
      </c>
      <c r="I190" s="5" t="n">
        <v>0</v>
      </c>
      <c r="J190" s="5" t="n">
        <v>10</v>
      </c>
      <c r="K190" s="5" t="n">
        <v>3</v>
      </c>
      <c r="L190" s="5" t="n">
        <f aca="false">J190-K190</f>
        <v>7</v>
      </c>
      <c r="M190" s="11" t="n">
        <f aca="false">IF(J190=0,0,K190/J190)</f>
        <v>0.3</v>
      </c>
    </row>
    <row r="191" customFormat="false" ht="15" hidden="false" customHeight="false" outlineLevel="0" collapsed="false">
      <c r="A191" s="5" t="s">
        <v>428</v>
      </c>
      <c r="B191" s="5" t="s">
        <v>54</v>
      </c>
      <c r="C191" s="5" t="s">
        <v>429</v>
      </c>
      <c r="D191" s="5" t="s">
        <v>430</v>
      </c>
      <c r="E191" s="5" t="s">
        <v>56</v>
      </c>
      <c r="F191" s="5" t="s">
        <v>57</v>
      </c>
      <c r="G191" s="5" t="s">
        <v>58</v>
      </c>
      <c r="H191" s="5" t="n">
        <v>0</v>
      </c>
      <c r="I191" s="5" t="n">
        <v>0</v>
      </c>
      <c r="J191" s="5" t="n">
        <v>26</v>
      </c>
      <c r="K191" s="5" t="n">
        <v>23</v>
      </c>
      <c r="L191" s="5" t="n">
        <f aca="false">J191-K191</f>
        <v>3</v>
      </c>
      <c r="M191" s="11" t="n">
        <f aca="false">IF(J191=0,0,K191/J191)</f>
        <v>0.884615384615385</v>
      </c>
    </row>
    <row r="192" customFormat="false" ht="15" hidden="false" customHeight="false" outlineLevel="0" collapsed="false">
      <c r="A192" s="5" t="s">
        <v>431</v>
      </c>
      <c r="B192" s="5" t="s">
        <v>54</v>
      </c>
      <c r="C192" s="5" t="s">
        <v>429</v>
      </c>
      <c r="D192" s="5" t="s">
        <v>432</v>
      </c>
      <c r="E192" s="5" t="s">
        <v>56</v>
      </c>
      <c r="F192" s="5" t="s">
        <v>57</v>
      </c>
      <c r="G192" s="5" t="s">
        <v>58</v>
      </c>
      <c r="H192" s="5" t="n">
        <v>0</v>
      </c>
      <c r="I192" s="5" t="n">
        <v>0</v>
      </c>
      <c r="J192" s="5" t="n">
        <v>20</v>
      </c>
      <c r="K192" s="5" t="n">
        <v>18</v>
      </c>
      <c r="L192" s="5" t="n">
        <f aca="false">J192-K192</f>
        <v>2</v>
      </c>
      <c r="M192" s="11" t="n">
        <f aca="false">IF(J192=0,0,K192/J192)</f>
        <v>0.9</v>
      </c>
    </row>
    <row r="193" customFormat="false" ht="15" hidden="false" customHeight="false" outlineLevel="0" collapsed="false">
      <c r="A193" s="5" t="s">
        <v>433</v>
      </c>
      <c r="B193" s="5" t="s">
        <v>54</v>
      </c>
      <c r="C193" s="5" t="s">
        <v>429</v>
      </c>
      <c r="D193" s="5" t="s">
        <v>434</v>
      </c>
      <c r="E193" s="5" t="s">
        <v>206</v>
      </c>
      <c r="F193" s="5" t="s">
        <v>57</v>
      </c>
      <c r="G193" s="5" t="s">
        <v>58</v>
      </c>
      <c r="H193" s="5" t="n">
        <v>0</v>
      </c>
      <c r="I193" s="5" t="n">
        <v>0</v>
      </c>
      <c r="J193" s="5" t="n">
        <v>35</v>
      </c>
      <c r="K193" s="5" t="n">
        <v>23</v>
      </c>
      <c r="L193" s="5" t="n">
        <f aca="false">J193-K193</f>
        <v>12</v>
      </c>
      <c r="M193" s="11" t="n">
        <f aca="false">IF(J193=0,0,K193/J193)</f>
        <v>0.657142857142857</v>
      </c>
    </row>
    <row r="194" customFormat="false" ht="15" hidden="false" customHeight="false" outlineLevel="0" collapsed="false">
      <c r="A194" s="5" t="s">
        <v>435</v>
      </c>
      <c r="B194" s="5" t="s">
        <v>54</v>
      </c>
      <c r="C194" s="5" t="s">
        <v>429</v>
      </c>
      <c r="D194" s="5" t="s">
        <v>436</v>
      </c>
      <c r="E194" s="5" t="s">
        <v>437</v>
      </c>
      <c r="F194" s="5" t="s">
        <v>57</v>
      </c>
      <c r="G194" s="5" t="s">
        <v>58</v>
      </c>
      <c r="H194" s="5" t="n">
        <v>0</v>
      </c>
      <c r="I194" s="5" t="n">
        <v>0</v>
      </c>
      <c r="J194" s="5" t="n">
        <v>27</v>
      </c>
      <c r="K194" s="5" t="n">
        <v>22</v>
      </c>
      <c r="L194" s="5" t="n">
        <f aca="false">J194-K194</f>
        <v>5</v>
      </c>
      <c r="M194" s="11" t="n">
        <f aca="false">IF(J194=0,0,K194/J194)</f>
        <v>0.814814814814815</v>
      </c>
    </row>
    <row r="195" customFormat="false" ht="15" hidden="false" customHeight="false" outlineLevel="0" collapsed="false">
      <c r="A195" s="5" t="s">
        <v>438</v>
      </c>
      <c r="B195" s="5" t="s">
        <v>54</v>
      </c>
      <c r="C195" s="5" t="s">
        <v>429</v>
      </c>
      <c r="D195" s="5" t="s">
        <v>206</v>
      </c>
      <c r="E195" s="5" t="s">
        <v>439</v>
      </c>
      <c r="F195" s="5" t="s">
        <v>57</v>
      </c>
      <c r="G195" s="5" t="s">
        <v>58</v>
      </c>
      <c r="H195" s="5" t="n">
        <v>0</v>
      </c>
      <c r="I195" s="5" t="n">
        <v>0</v>
      </c>
      <c r="J195" s="5" t="n">
        <v>27</v>
      </c>
      <c r="K195" s="5" t="n">
        <v>25</v>
      </c>
      <c r="L195" s="5" t="n">
        <f aca="false">J195-K195</f>
        <v>2</v>
      </c>
      <c r="M195" s="11" t="n">
        <f aca="false">IF(J195=0,0,K195/J195)</f>
        <v>0.925925925925926</v>
      </c>
    </row>
    <row r="196" customFormat="false" ht="15" hidden="false" customHeight="false" outlineLevel="0" collapsed="false">
      <c r="A196" s="5" t="s">
        <v>440</v>
      </c>
      <c r="B196" s="5" t="s">
        <v>54</v>
      </c>
      <c r="C196" s="5" t="s">
        <v>429</v>
      </c>
      <c r="D196" s="5" t="s">
        <v>287</v>
      </c>
      <c r="E196" s="5" t="s">
        <v>56</v>
      </c>
      <c r="F196" s="5" t="s">
        <v>57</v>
      </c>
      <c r="G196" s="5" t="s">
        <v>58</v>
      </c>
      <c r="H196" s="5" t="n">
        <v>0</v>
      </c>
      <c r="I196" s="5" t="n">
        <v>0</v>
      </c>
      <c r="J196" s="5" t="n">
        <v>26</v>
      </c>
      <c r="K196" s="5" t="n">
        <v>24</v>
      </c>
      <c r="L196" s="5" t="n">
        <f aca="false">J196-K196</f>
        <v>2</v>
      </c>
      <c r="M196" s="11" t="n">
        <f aca="false">IF(J196=0,0,K196/J196)</f>
        <v>0.923076923076923</v>
      </c>
    </row>
    <row r="197" customFormat="false" ht="15" hidden="false" customHeight="false" outlineLevel="0" collapsed="false">
      <c r="A197" s="5" t="s">
        <v>441</v>
      </c>
      <c r="B197" s="5" t="s">
        <v>54</v>
      </c>
      <c r="C197" s="5" t="s">
        <v>429</v>
      </c>
      <c r="D197" s="5" t="s">
        <v>393</v>
      </c>
      <c r="E197" s="5" t="s">
        <v>56</v>
      </c>
      <c r="F197" s="5" t="s">
        <v>57</v>
      </c>
      <c r="G197" s="5" t="s">
        <v>58</v>
      </c>
      <c r="H197" s="5" t="n">
        <v>0</v>
      </c>
      <c r="I197" s="5" t="n">
        <v>0</v>
      </c>
      <c r="J197" s="5" t="n">
        <v>28</v>
      </c>
      <c r="K197" s="5" t="n">
        <v>26</v>
      </c>
      <c r="L197" s="5" t="n">
        <f aca="false">J197-K197</f>
        <v>2</v>
      </c>
      <c r="M197" s="11" t="n">
        <f aca="false">IF(J197=0,0,K197/J197)</f>
        <v>0.928571428571429</v>
      </c>
    </row>
    <row r="198" customFormat="false" ht="15" hidden="false" customHeight="false" outlineLevel="0" collapsed="false">
      <c r="A198" s="5" t="s">
        <v>442</v>
      </c>
      <c r="B198" s="5" t="s">
        <v>54</v>
      </c>
      <c r="C198" s="5" t="s">
        <v>429</v>
      </c>
      <c r="D198" s="5" t="s">
        <v>443</v>
      </c>
      <c r="E198" s="5" t="s">
        <v>56</v>
      </c>
      <c r="F198" s="5" t="s">
        <v>57</v>
      </c>
      <c r="G198" s="5" t="s">
        <v>58</v>
      </c>
      <c r="H198" s="5" t="n">
        <v>0</v>
      </c>
      <c r="I198" s="5" t="n">
        <v>0</v>
      </c>
      <c r="J198" s="5" t="n">
        <v>10</v>
      </c>
      <c r="K198" s="5" t="n">
        <v>9</v>
      </c>
      <c r="L198" s="5" t="n">
        <f aca="false">J198-K198</f>
        <v>1</v>
      </c>
      <c r="M198" s="11" t="n">
        <f aca="false">IF(J198=0,0,K198/J198)</f>
        <v>0.9</v>
      </c>
    </row>
    <row r="199" customFormat="false" ht="15" hidden="false" customHeight="false" outlineLevel="0" collapsed="false">
      <c r="A199" s="5" t="s">
        <v>444</v>
      </c>
      <c r="B199" s="5" t="s">
        <v>54</v>
      </c>
      <c r="C199" s="5" t="s">
        <v>429</v>
      </c>
      <c r="D199" s="5" t="s">
        <v>445</v>
      </c>
      <c r="E199" s="5" t="s">
        <v>446</v>
      </c>
      <c r="F199" s="5" t="s">
        <v>57</v>
      </c>
      <c r="G199" s="5" t="s">
        <v>58</v>
      </c>
      <c r="H199" s="5" t="n">
        <v>0</v>
      </c>
      <c r="I199" s="5" t="n">
        <v>0</v>
      </c>
      <c r="J199" s="5" t="n">
        <v>23</v>
      </c>
      <c r="K199" s="5" t="n">
        <v>22</v>
      </c>
      <c r="L199" s="5" t="n">
        <f aca="false">J199-K199</f>
        <v>1</v>
      </c>
      <c r="M199" s="11" t="n">
        <f aca="false">IF(J199=0,0,K199/J199)</f>
        <v>0.956521739130435</v>
      </c>
    </row>
    <row r="200" customFormat="false" ht="15" hidden="false" customHeight="false" outlineLevel="0" collapsed="false">
      <c r="A200" s="5" t="s">
        <v>447</v>
      </c>
      <c r="B200" s="5" t="s">
        <v>54</v>
      </c>
      <c r="C200" s="5" t="s">
        <v>429</v>
      </c>
      <c r="D200" s="5" t="s">
        <v>448</v>
      </c>
      <c r="E200" s="5" t="s">
        <v>449</v>
      </c>
      <c r="F200" s="5" t="s">
        <v>57</v>
      </c>
      <c r="G200" s="5" t="s">
        <v>58</v>
      </c>
      <c r="H200" s="5" t="n">
        <v>0</v>
      </c>
      <c r="I200" s="5" t="n">
        <v>0</v>
      </c>
      <c r="J200" s="5" t="n">
        <v>16</v>
      </c>
      <c r="K200" s="5" t="n">
        <v>12</v>
      </c>
      <c r="L200" s="5" t="n">
        <f aca="false">J200-K200</f>
        <v>4</v>
      </c>
      <c r="M200" s="11" t="n">
        <f aca="false">IF(J200=0,0,K200/J200)</f>
        <v>0.75</v>
      </c>
    </row>
    <row r="201" customFormat="false" ht="15" hidden="false" customHeight="false" outlineLevel="0" collapsed="false">
      <c r="A201" s="5" t="s">
        <v>450</v>
      </c>
      <c r="B201" s="5" t="s">
        <v>54</v>
      </c>
      <c r="C201" s="5" t="s">
        <v>429</v>
      </c>
      <c r="D201" s="5" t="s">
        <v>451</v>
      </c>
      <c r="E201" s="5" t="s">
        <v>452</v>
      </c>
      <c r="F201" s="5" t="s">
        <v>57</v>
      </c>
      <c r="G201" s="5" t="s">
        <v>58</v>
      </c>
      <c r="H201" s="5" t="n">
        <v>0</v>
      </c>
      <c r="I201" s="5" t="n">
        <v>0</v>
      </c>
      <c r="J201" s="5" t="n">
        <v>38</v>
      </c>
      <c r="K201" s="5" t="n">
        <v>36</v>
      </c>
      <c r="L201" s="5" t="n">
        <f aca="false">J201-K201</f>
        <v>2</v>
      </c>
      <c r="M201" s="11" t="n">
        <f aca="false">IF(J201=0,0,K201/J201)</f>
        <v>0.947368421052632</v>
      </c>
    </row>
    <row r="202" customFormat="false" ht="15" hidden="false" customHeight="false" outlineLevel="0" collapsed="false">
      <c r="A202" s="5" t="s">
        <v>453</v>
      </c>
      <c r="B202" s="5" t="s">
        <v>54</v>
      </c>
      <c r="C202" s="5" t="s">
        <v>429</v>
      </c>
      <c r="D202" s="5" t="s">
        <v>454</v>
      </c>
      <c r="E202" s="5" t="s">
        <v>452</v>
      </c>
      <c r="F202" s="5" t="s">
        <v>57</v>
      </c>
      <c r="G202" s="5" t="s">
        <v>58</v>
      </c>
      <c r="H202" s="5" t="n">
        <v>0</v>
      </c>
      <c r="I202" s="5" t="n">
        <v>0</v>
      </c>
      <c r="J202" s="5" t="n">
        <v>30</v>
      </c>
      <c r="K202" s="5" t="n">
        <v>29</v>
      </c>
      <c r="L202" s="5" t="n">
        <f aca="false">J202-K202</f>
        <v>1</v>
      </c>
      <c r="M202" s="11" t="n">
        <f aca="false">IF(J202=0,0,K202/J202)</f>
        <v>0.966666666666667</v>
      </c>
    </row>
    <row r="203" customFormat="false" ht="15" hidden="false" customHeight="false" outlineLevel="0" collapsed="false">
      <c r="A203" s="5" t="s">
        <v>455</v>
      </c>
      <c r="B203" s="5" t="s">
        <v>54</v>
      </c>
      <c r="C203" s="5" t="s">
        <v>429</v>
      </c>
      <c r="D203" s="5" t="s">
        <v>454</v>
      </c>
      <c r="E203" s="5" t="s">
        <v>56</v>
      </c>
      <c r="F203" s="5" t="s">
        <v>57</v>
      </c>
      <c r="G203" s="5" t="s">
        <v>58</v>
      </c>
      <c r="H203" s="5" t="n">
        <v>0</v>
      </c>
      <c r="I203" s="5" t="n">
        <v>0</v>
      </c>
      <c r="J203" s="5" t="n">
        <v>20</v>
      </c>
      <c r="K203" s="5" t="n">
        <v>17</v>
      </c>
      <c r="L203" s="5" t="n">
        <f aca="false">J203-K203</f>
        <v>3</v>
      </c>
      <c r="M203" s="11" t="n">
        <f aca="false">IF(J203=0,0,K203/J203)</f>
        <v>0.85</v>
      </c>
    </row>
    <row r="204" customFormat="false" ht="15" hidden="false" customHeight="false" outlineLevel="0" collapsed="false">
      <c r="A204" s="5" t="s">
        <v>456</v>
      </c>
      <c r="B204" s="5" t="s">
        <v>54</v>
      </c>
      <c r="C204" s="5" t="s">
        <v>429</v>
      </c>
      <c r="D204" s="5" t="s">
        <v>288</v>
      </c>
      <c r="E204" s="5" t="s">
        <v>349</v>
      </c>
      <c r="F204" s="5" t="s">
        <v>57</v>
      </c>
      <c r="G204" s="5" t="s">
        <v>58</v>
      </c>
      <c r="H204" s="5" t="n">
        <v>0</v>
      </c>
      <c r="I204" s="5" t="n">
        <v>0</v>
      </c>
      <c r="J204" s="5" t="n">
        <v>15</v>
      </c>
      <c r="K204" s="5" t="n">
        <v>14</v>
      </c>
      <c r="L204" s="5" t="n">
        <f aca="false">J204-K204</f>
        <v>1</v>
      </c>
      <c r="M204" s="11" t="n">
        <f aca="false">IF(J204=0,0,K204/J204)</f>
        <v>0.933333333333333</v>
      </c>
    </row>
    <row r="205" customFormat="false" ht="15" hidden="false" customHeight="false" outlineLevel="0" collapsed="false">
      <c r="A205" s="5" t="s">
        <v>457</v>
      </c>
      <c r="B205" s="5" t="s">
        <v>54</v>
      </c>
      <c r="C205" s="5" t="s">
        <v>429</v>
      </c>
      <c r="D205" s="5" t="s">
        <v>186</v>
      </c>
      <c r="E205" s="5" t="s">
        <v>454</v>
      </c>
      <c r="F205" s="5" t="s">
        <v>57</v>
      </c>
      <c r="G205" s="5" t="s">
        <v>58</v>
      </c>
      <c r="H205" s="5" t="n">
        <v>0</v>
      </c>
      <c r="I205" s="5" t="n">
        <v>0</v>
      </c>
      <c r="J205" s="5" t="n">
        <v>33</v>
      </c>
      <c r="K205" s="5" t="n">
        <v>31</v>
      </c>
      <c r="L205" s="5" t="n">
        <f aca="false">J205-K205</f>
        <v>2</v>
      </c>
      <c r="M205" s="11" t="n">
        <f aca="false">IF(J205=0,0,K205/J205)</f>
        <v>0.939393939393939</v>
      </c>
    </row>
    <row r="206" customFormat="false" ht="15" hidden="false" customHeight="false" outlineLevel="0" collapsed="false">
      <c r="A206" s="5" t="s">
        <v>458</v>
      </c>
      <c r="B206" s="5" t="s">
        <v>54</v>
      </c>
      <c r="C206" s="5" t="s">
        <v>429</v>
      </c>
      <c r="D206" s="5" t="s">
        <v>133</v>
      </c>
      <c r="E206" s="5" t="s">
        <v>459</v>
      </c>
      <c r="F206" s="5" t="s">
        <v>57</v>
      </c>
      <c r="G206" s="5" t="s">
        <v>58</v>
      </c>
      <c r="H206" s="5" t="n">
        <v>0</v>
      </c>
      <c r="I206" s="5" t="n">
        <v>0</v>
      </c>
      <c r="J206" s="5" t="n">
        <v>29</v>
      </c>
      <c r="K206" s="5" t="n">
        <v>26</v>
      </c>
      <c r="L206" s="5" t="n">
        <f aca="false">J206-K206</f>
        <v>3</v>
      </c>
      <c r="M206" s="11" t="n">
        <f aca="false">IF(J206=0,0,K206/J206)</f>
        <v>0.896551724137931</v>
      </c>
    </row>
    <row r="207" customFormat="false" ht="15" hidden="false" customHeight="false" outlineLevel="0" collapsed="false">
      <c r="A207" s="5" t="s">
        <v>460</v>
      </c>
      <c r="B207" s="5" t="s">
        <v>54</v>
      </c>
      <c r="C207" s="5" t="s">
        <v>429</v>
      </c>
      <c r="D207" s="5" t="s">
        <v>82</v>
      </c>
      <c r="E207" s="5" t="s">
        <v>213</v>
      </c>
      <c r="F207" s="5" t="s">
        <v>57</v>
      </c>
      <c r="G207" s="5" t="s">
        <v>58</v>
      </c>
      <c r="H207" s="5" t="n">
        <v>0</v>
      </c>
      <c r="I207" s="5" t="n">
        <v>0</v>
      </c>
      <c r="J207" s="5" t="n">
        <v>24</v>
      </c>
      <c r="K207" s="5" t="n">
        <v>17</v>
      </c>
      <c r="L207" s="5" t="n">
        <f aca="false">J207-K207</f>
        <v>7</v>
      </c>
      <c r="M207" s="11" t="n">
        <f aca="false">IF(J207=0,0,K207/J207)</f>
        <v>0.708333333333333</v>
      </c>
    </row>
    <row r="208" customFormat="false" ht="15" hidden="false" customHeight="false" outlineLevel="0" collapsed="false">
      <c r="A208" s="5" t="s">
        <v>461</v>
      </c>
      <c r="B208" s="5" t="s">
        <v>54</v>
      </c>
      <c r="C208" s="5" t="s">
        <v>429</v>
      </c>
      <c r="D208" s="5" t="s">
        <v>462</v>
      </c>
      <c r="E208" s="5" t="s">
        <v>463</v>
      </c>
      <c r="F208" s="5" t="s">
        <v>57</v>
      </c>
      <c r="G208" s="5" t="s">
        <v>58</v>
      </c>
      <c r="H208" s="5" t="n">
        <v>0</v>
      </c>
      <c r="I208" s="5" t="n">
        <v>0</v>
      </c>
      <c r="J208" s="5" t="n">
        <v>15</v>
      </c>
      <c r="K208" s="5" t="n">
        <v>14</v>
      </c>
      <c r="L208" s="5" t="n">
        <f aca="false">J208-K208</f>
        <v>1</v>
      </c>
      <c r="M208" s="11" t="n">
        <f aca="false">IF(J208=0,0,K208/J208)</f>
        <v>0.933333333333333</v>
      </c>
    </row>
    <row r="209" customFormat="false" ht="15" hidden="false" customHeight="false" outlineLevel="0" collapsed="false">
      <c r="A209" s="5" t="s">
        <v>464</v>
      </c>
      <c r="B209" s="5" t="s">
        <v>54</v>
      </c>
      <c r="C209" s="5" t="s">
        <v>429</v>
      </c>
      <c r="D209" s="5" t="s">
        <v>465</v>
      </c>
      <c r="E209" s="5" t="s">
        <v>56</v>
      </c>
      <c r="F209" s="5" t="s">
        <v>57</v>
      </c>
      <c r="G209" s="5" t="s">
        <v>58</v>
      </c>
      <c r="H209" s="5" t="n">
        <v>0</v>
      </c>
      <c r="I209" s="5" t="n">
        <v>0</v>
      </c>
      <c r="J209" s="5" t="n">
        <v>26</v>
      </c>
      <c r="K209" s="5" t="n">
        <v>26</v>
      </c>
      <c r="L209" s="5" t="n">
        <f aca="false">J209-K209</f>
        <v>0</v>
      </c>
      <c r="M209" s="11" t="n">
        <f aca="false">IF(J209=0,0,K209/J209)</f>
        <v>1</v>
      </c>
    </row>
    <row r="210" customFormat="false" ht="15" hidden="false" customHeight="false" outlineLevel="0" collapsed="false">
      <c r="A210" s="5" t="s">
        <v>466</v>
      </c>
      <c r="B210" s="5" t="s">
        <v>54</v>
      </c>
      <c r="C210" s="5" t="s">
        <v>429</v>
      </c>
      <c r="D210" s="5" t="s">
        <v>439</v>
      </c>
      <c r="E210" s="5" t="s">
        <v>452</v>
      </c>
      <c r="F210" s="5" t="s">
        <v>57</v>
      </c>
      <c r="G210" s="5" t="s">
        <v>58</v>
      </c>
      <c r="H210" s="5" t="n">
        <v>0</v>
      </c>
      <c r="I210" s="5" t="n">
        <v>0</v>
      </c>
      <c r="J210" s="5" t="n">
        <v>38</v>
      </c>
      <c r="K210" s="5" t="n">
        <v>38</v>
      </c>
      <c r="L210" s="5" t="n">
        <f aca="false">J210-K210</f>
        <v>0</v>
      </c>
      <c r="M210" s="11" t="n">
        <f aca="false">IF(J210=0,0,K210/J210)</f>
        <v>1</v>
      </c>
    </row>
    <row r="211" customFormat="false" ht="15" hidden="false" customHeight="false" outlineLevel="0" collapsed="false">
      <c r="A211" s="5" t="s">
        <v>467</v>
      </c>
      <c r="B211" s="5" t="s">
        <v>54</v>
      </c>
      <c r="C211" s="5" t="s">
        <v>429</v>
      </c>
      <c r="D211" s="5" t="s">
        <v>205</v>
      </c>
      <c r="E211" s="5" t="s">
        <v>56</v>
      </c>
      <c r="F211" s="5" t="s">
        <v>57</v>
      </c>
      <c r="G211" s="5" t="s">
        <v>58</v>
      </c>
      <c r="H211" s="5" t="n">
        <v>0</v>
      </c>
      <c r="I211" s="5" t="n">
        <v>0</v>
      </c>
      <c r="J211" s="5" t="n">
        <v>31</v>
      </c>
      <c r="K211" s="5" t="n">
        <v>26</v>
      </c>
      <c r="L211" s="5" t="n">
        <f aca="false">J211-K211</f>
        <v>5</v>
      </c>
      <c r="M211" s="11" t="n">
        <f aca="false">IF(J211=0,0,K211/J211)</f>
        <v>0.838709677419355</v>
      </c>
    </row>
    <row r="212" customFormat="false" ht="15" hidden="false" customHeight="false" outlineLevel="0" collapsed="false">
      <c r="A212" s="5" t="s">
        <v>468</v>
      </c>
      <c r="B212" s="5" t="s">
        <v>54</v>
      </c>
      <c r="C212" s="5" t="s">
        <v>429</v>
      </c>
      <c r="D212" s="5" t="s">
        <v>469</v>
      </c>
      <c r="E212" s="5" t="s">
        <v>56</v>
      </c>
      <c r="F212" s="5" t="s">
        <v>57</v>
      </c>
      <c r="G212" s="5" t="s">
        <v>58</v>
      </c>
      <c r="H212" s="5" t="n">
        <v>0</v>
      </c>
      <c r="I212" s="5" t="n">
        <v>0</v>
      </c>
      <c r="J212" s="5" t="n">
        <v>20</v>
      </c>
      <c r="K212" s="5" t="n">
        <v>18</v>
      </c>
      <c r="L212" s="5" t="n">
        <f aca="false">J212-K212</f>
        <v>2</v>
      </c>
      <c r="M212" s="11" t="n">
        <f aca="false">IF(J212=0,0,K212/J212)</f>
        <v>0.9</v>
      </c>
    </row>
    <row r="213" customFormat="false" ht="15" hidden="false" customHeight="false" outlineLevel="0" collapsed="false">
      <c r="A213" s="5" t="s">
        <v>470</v>
      </c>
      <c r="B213" s="5" t="s">
        <v>54</v>
      </c>
      <c r="C213" s="5" t="s">
        <v>429</v>
      </c>
      <c r="D213" s="5" t="s">
        <v>471</v>
      </c>
      <c r="E213" s="5" t="s">
        <v>206</v>
      </c>
      <c r="F213" s="5" t="s">
        <v>57</v>
      </c>
      <c r="G213" s="5" t="s">
        <v>58</v>
      </c>
      <c r="H213" s="5" t="n">
        <v>0</v>
      </c>
      <c r="I213" s="5" t="n">
        <v>0</v>
      </c>
      <c r="J213" s="5" t="n">
        <v>19</v>
      </c>
      <c r="K213" s="5" t="n">
        <v>19</v>
      </c>
      <c r="L213" s="5" t="n">
        <f aca="false">J213-K213</f>
        <v>0</v>
      </c>
      <c r="M213" s="11" t="n">
        <f aca="false">IF(J213=0,0,K213/J213)</f>
        <v>1</v>
      </c>
    </row>
    <row r="214" customFormat="false" ht="15" hidden="false" customHeight="false" outlineLevel="0" collapsed="false">
      <c r="A214" s="5" t="s">
        <v>472</v>
      </c>
      <c r="B214" s="5" t="s">
        <v>54</v>
      </c>
      <c r="C214" s="5" t="s">
        <v>429</v>
      </c>
      <c r="D214" s="5" t="s">
        <v>471</v>
      </c>
      <c r="E214" s="5" t="s">
        <v>473</v>
      </c>
      <c r="F214" s="5" t="s">
        <v>57</v>
      </c>
      <c r="G214" s="5" t="s">
        <v>58</v>
      </c>
      <c r="H214" s="5" t="n">
        <v>0</v>
      </c>
      <c r="I214" s="5" t="n">
        <v>0</v>
      </c>
      <c r="J214" s="5" t="n">
        <v>26</v>
      </c>
      <c r="K214" s="5" t="n">
        <v>25</v>
      </c>
      <c r="L214" s="5" t="n">
        <f aca="false">J214-K214</f>
        <v>1</v>
      </c>
      <c r="M214" s="11" t="n">
        <f aca="false">IF(J214=0,0,K214/J214)</f>
        <v>0.961538461538462</v>
      </c>
    </row>
    <row r="215" customFormat="false" ht="15" hidden="false" customHeight="false" outlineLevel="0" collapsed="false">
      <c r="A215" s="5" t="s">
        <v>474</v>
      </c>
      <c r="B215" s="5" t="s">
        <v>475</v>
      </c>
      <c r="C215" s="5" t="s">
        <v>429</v>
      </c>
      <c r="D215" s="5" t="s">
        <v>449</v>
      </c>
      <c r="E215" s="5" t="s">
        <v>56</v>
      </c>
      <c r="F215" s="5" t="s">
        <v>51</v>
      </c>
      <c r="G215" s="5" t="s">
        <v>52</v>
      </c>
      <c r="H215" s="5" t="n">
        <v>8</v>
      </c>
      <c r="I215" s="5" t="n">
        <v>8</v>
      </c>
      <c r="J215" s="5" t="n">
        <v>7</v>
      </c>
      <c r="K215" s="5" t="n">
        <v>7</v>
      </c>
      <c r="L215" s="5" t="n">
        <f aca="false">J215-K215</f>
        <v>0</v>
      </c>
      <c r="M215" s="11" t="n">
        <f aca="false">IF(J215=0,0,K215/J215)</f>
        <v>1</v>
      </c>
    </row>
    <row r="216" customFormat="false" ht="15" hidden="false" customHeight="false" outlineLevel="0" collapsed="false">
      <c r="A216" s="5" t="s">
        <v>476</v>
      </c>
      <c r="B216" s="5" t="s">
        <v>475</v>
      </c>
      <c r="C216" s="5" t="s">
        <v>429</v>
      </c>
      <c r="D216" s="5" t="s">
        <v>477</v>
      </c>
      <c r="E216" s="5" t="s">
        <v>56</v>
      </c>
      <c r="F216" s="5" t="s">
        <v>51</v>
      </c>
      <c r="G216" s="5" t="s">
        <v>52</v>
      </c>
      <c r="H216" s="5" t="n">
        <v>7</v>
      </c>
      <c r="I216" s="5" t="n">
        <v>7</v>
      </c>
      <c r="J216" s="5" t="n">
        <v>7</v>
      </c>
      <c r="K216" s="5" t="n">
        <v>7</v>
      </c>
      <c r="L216" s="5" t="n">
        <f aca="false">J216-K216</f>
        <v>0</v>
      </c>
      <c r="M216" s="11" t="n">
        <f aca="false">IF(J216=0,0,K216/J216)</f>
        <v>1</v>
      </c>
    </row>
    <row r="217" customFormat="false" ht="15" hidden="false" customHeight="false" outlineLevel="0" collapsed="false">
      <c r="A217" s="5" t="s">
        <v>478</v>
      </c>
      <c r="B217" s="5" t="s">
        <v>475</v>
      </c>
      <c r="C217" s="5" t="s">
        <v>429</v>
      </c>
      <c r="D217" s="5" t="s">
        <v>213</v>
      </c>
      <c r="E217" s="5" t="s">
        <v>56</v>
      </c>
      <c r="F217" s="5" t="s">
        <v>51</v>
      </c>
      <c r="G217" s="5" t="s">
        <v>52</v>
      </c>
      <c r="H217" s="5" t="n">
        <v>8</v>
      </c>
      <c r="I217" s="5" t="n">
        <v>8</v>
      </c>
      <c r="J217" s="5" t="n">
        <v>7</v>
      </c>
      <c r="K217" s="5" t="n">
        <v>7</v>
      </c>
      <c r="L217" s="5" t="n">
        <f aca="false">J217-K217</f>
        <v>0</v>
      </c>
      <c r="M217" s="11" t="n">
        <f aca="false">IF(J217=0,0,K217/J217)</f>
        <v>1</v>
      </c>
    </row>
    <row r="218" customFormat="false" ht="15" hidden="false" customHeight="false" outlineLevel="0" collapsed="false">
      <c r="A218" s="5" t="s">
        <v>479</v>
      </c>
      <c r="B218" s="5" t="s">
        <v>475</v>
      </c>
      <c r="C218" s="5" t="s">
        <v>429</v>
      </c>
      <c r="D218" s="5" t="s">
        <v>173</v>
      </c>
      <c r="E218" s="5" t="s">
        <v>206</v>
      </c>
      <c r="F218" s="5" t="s">
        <v>51</v>
      </c>
      <c r="G218" s="5" t="s">
        <v>52</v>
      </c>
      <c r="H218" s="5" t="n">
        <v>6</v>
      </c>
      <c r="I218" s="5" t="n">
        <v>6</v>
      </c>
      <c r="J218" s="5" t="n">
        <v>7</v>
      </c>
      <c r="K218" s="5" t="n">
        <v>7</v>
      </c>
      <c r="L218" s="5" t="n">
        <f aca="false">J218-K218</f>
        <v>0</v>
      </c>
      <c r="M218" s="11" t="n">
        <f aca="false">IF(J218=0,0,K218/J218)</f>
        <v>1</v>
      </c>
    </row>
    <row r="219" customFormat="false" ht="15" hidden="false" customHeight="false" outlineLevel="0" collapsed="false">
      <c r="A219" s="5" t="s">
        <v>480</v>
      </c>
      <c r="B219" s="5" t="s">
        <v>475</v>
      </c>
      <c r="C219" s="5" t="s">
        <v>429</v>
      </c>
      <c r="D219" s="5" t="s">
        <v>193</v>
      </c>
      <c r="E219" s="5" t="s">
        <v>56</v>
      </c>
      <c r="F219" s="5" t="s">
        <v>51</v>
      </c>
      <c r="G219" s="5" t="s">
        <v>52</v>
      </c>
      <c r="H219" s="5" t="n">
        <v>8</v>
      </c>
      <c r="I219" s="5" t="n">
        <v>8</v>
      </c>
      <c r="J219" s="5" t="n">
        <v>7</v>
      </c>
      <c r="K219" s="5" t="n">
        <v>7</v>
      </c>
      <c r="L219" s="5" t="n">
        <f aca="false">J219-K219</f>
        <v>0</v>
      </c>
      <c r="M219" s="11" t="n">
        <f aca="false">IF(J219=0,0,K219/J219)</f>
        <v>1</v>
      </c>
    </row>
    <row r="220" customFormat="false" ht="15" hidden="false" customHeight="false" outlineLevel="0" collapsed="false">
      <c r="A220" s="5" t="s">
        <v>481</v>
      </c>
      <c r="B220" s="5" t="s">
        <v>475</v>
      </c>
      <c r="C220" s="5" t="s">
        <v>429</v>
      </c>
      <c r="D220" s="5" t="s">
        <v>374</v>
      </c>
      <c r="E220" s="5" t="s">
        <v>206</v>
      </c>
      <c r="F220" s="5" t="s">
        <v>51</v>
      </c>
      <c r="G220" s="5" t="s">
        <v>52</v>
      </c>
      <c r="H220" s="5" t="n">
        <v>6</v>
      </c>
      <c r="I220" s="5" t="n">
        <v>6</v>
      </c>
      <c r="J220" s="5" t="n">
        <v>7</v>
      </c>
      <c r="K220" s="5" t="n">
        <v>7</v>
      </c>
      <c r="L220" s="5" t="n">
        <f aca="false">J220-K220</f>
        <v>0</v>
      </c>
      <c r="M220" s="11" t="n">
        <f aca="false">IF(J220=0,0,K220/J220)</f>
        <v>1</v>
      </c>
    </row>
    <row r="221" customFormat="false" ht="15" hidden="false" customHeight="false" outlineLevel="0" collapsed="false">
      <c r="A221" s="5" t="s">
        <v>482</v>
      </c>
      <c r="B221" s="5" t="s">
        <v>475</v>
      </c>
      <c r="C221" s="5" t="s">
        <v>429</v>
      </c>
      <c r="D221" s="5" t="s">
        <v>483</v>
      </c>
      <c r="E221" s="5" t="s">
        <v>288</v>
      </c>
      <c r="F221" s="5" t="s">
        <v>51</v>
      </c>
      <c r="G221" s="5" t="s">
        <v>52</v>
      </c>
      <c r="H221" s="5" t="n">
        <v>8</v>
      </c>
      <c r="I221" s="5" t="n">
        <v>8</v>
      </c>
      <c r="J221" s="5" t="n">
        <v>7</v>
      </c>
      <c r="K221" s="5" t="n">
        <v>7</v>
      </c>
      <c r="L221" s="5" t="n">
        <f aca="false">J221-K221</f>
        <v>0</v>
      </c>
      <c r="M221" s="11" t="n">
        <f aca="false">IF(J221=0,0,K221/J221)</f>
        <v>1</v>
      </c>
    </row>
    <row r="222" customFormat="false" ht="15" hidden="false" customHeight="false" outlineLevel="0" collapsed="false">
      <c r="A222" s="5" t="s">
        <v>484</v>
      </c>
      <c r="B222" s="5" t="s">
        <v>475</v>
      </c>
      <c r="C222" s="5" t="s">
        <v>429</v>
      </c>
      <c r="D222" s="5" t="s">
        <v>485</v>
      </c>
      <c r="E222" s="5" t="s">
        <v>288</v>
      </c>
      <c r="F222" s="5" t="s">
        <v>51</v>
      </c>
      <c r="G222" s="5" t="s">
        <v>52</v>
      </c>
      <c r="H222" s="5" t="n">
        <v>8</v>
      </c>
      <c r="I222" s="5" t="n">
        <v>8</v>
      </c>
      <c r="J222" s="5" t="n">
        <v>7</v>
      </c>
      <c r="K222" s="5" t="n">
        <v>7</v>
      </c>
      <c r="L222" s="5" t="n">
        <f aca="false">J222-K222</f>
        <v>0</v>
      </c>
      <c r="M222" s="11" t="n">
        <f aca="false">IF(J222=0,0,K222/J222)</f>
        <v>1</v>
      </c>
    </row>
    <row r="223" customFormat="false" ht="15" hidden="false" customHeight="false" outlineLevel="0" collapsed="false">
      <c r="A223" s="5" t="s">
        <v>486</v>
      </c>
      <c r="B223" s="5" t="s">
        <v>54</v>
      </c>
      <c r="C223" s="5" t="s">
        <v>48</v>
      </c>
      <c r="D223" s="5" t="s">
        <v>454</v>
      </c>
      <c r="E223" s="5" t="s">
        <v>452</v>
      </c>
      <c r="F223" s="5" t="s">
        <v>57</v>
      </c>
      <c r="G223" s="5" t="s">
        <v>58</v>
      </c>
      <c r="H223" s="5" t="n">
        <v>0</v>
      </c>
      <c r="I223" s="5" t="n">
        <v>0</v>
      </c>
      <c r="J223" s="5" t="n">
        <v>30</v>
      </c>
      <c r="K223" s="5" t="n">
        <v>29</v>
      </c>
      <c r="L223" s="5" t="n">
        <f aca="false">J223-K223</f>
        <v>1</v>
      </c>
      <c r="M223" s="11" t="n">
        <f aca="false">IF(J223=0,0,K223/J223)</f>
        <v>0.966666666666667</v>
      </c>
    </row>
    <row r="224" customFormat="false" ht="15" hidden="false" customHeight="false" outlineLevel="0" collapsed="false">
      <c r="A224" s="5" t="s">
        <v>487</v>
      </c>
      <c r="B224" s="5" t="s">
        <v>475</v>
      </c>
      <c r="C224" s="5" t="s">
        <v>429</v>
      </c>
      <c r="D224" s="5" t="s">
        <v>488</v>
      </c>
      <c r="E224" s="5" t="s">
        <v>56</v>
      </c>
      <c r="F224" s="5" t="s">
        <v>51</v>
      </c>
      <c r="G224" s="5" t="s">
        <v>52</v>
      </c>
      <c r="H224" s="5" t="n">
        <v>7</v>
      </c>
      <c r="I224" s="5" t="n">
        <v>7</v>
      </c>
      <c r="J224" s="5" t="n">
        <v>7</v>
      </c>
      <c r="K224" s="5" t="n">
        <v>7</v>
      </c>
      <c r="L224" s="5" t="n">
        <f aca="false">J224-K224</f>
        <v>0</v>
      </c>
      <c r="M224" s="11" t="n">
        <f aca="false">IF(J224=0,0,K224/J224)</f>
        <v>1</v>
      </c>
    </row>
    <row r="225" customFormat="false" ht="15" hidden="false" customHeight="false" outlineLevel="0" collapsed="false">
      <c r="A225" s="5" t="s">
        <v>489</v>
      </c>
      <c r="B225" s="5" t="s">
        <v>475</v>
      </c>
      <c r="C225" s="5" t="s">
        <v>429</v>
      </c>
      <c r="D225" s="5" t="s">
        <v>82</v>
      </c>
      <c r="E225" s="5" t="s">
        <v>56</v>
      </c>
      <c r="F225" s="5" t="s">
        <v>51</v>
      </c>
      <c r="G225" s="5" t="s">
        <v>52</v>
      </c>
      <c r="H225" s="5" t="n">
        <v>7</v>
      </c>
      <c r="I225" s="5" t="n">
        <v>7</v>
      </c>
      <c r="J225" s="5" t="n">
        <v>7</v>
      </c>
      <c r="K225" s="5" t="n">
        <v>7</v>
      </c>
      <c r="L225" s="5" t="n">
        <f aca="false">J225-K225</f>
        <v>0</v>
      </c>
      <c r="M225" s="11" t="n">
        <f aca="false">IF(J225=0,0,K225/J225)</f>
        <v>1</v>
      </c>
    </row>
    <row r="226" customFormat="false" ht="15" hidden="false" customHeight="false" outlineLevel="0" collapsed="false">
      <c r="A226" s="5" t="s">
        <v>490</v>
      </c>
      <c r="B226" s="5" t="s">
        <v>54</v>
      </c>
      <c r="C226" s="5" t="s">
        <v>48</v>
      </c>
      <c r="D226" s="5" t="s">
        <v>491</v>
      </c>
      <c r="E226" s="5" t="s">
        <v>473</v>
      </c>
      <c r="F226" s="5" t="s">
        <v>57</v>
      </c>
      <c r="G226" s="5" t="s">
        <v>58</v>
      </c>
      <c r="H226" s="5" t="n">
        <v>0</v>
      </c>
      <c r="I226" s="5" t="n">
        <v>0</v>
      </c>
      <c r="J226" s="5" t="n">
        <v>27</v>
      </c>
      <c r="K226" s="5" t="n">
        <v>24</v>
      </c>
      <c r="L226" s="5" t="n">
        <f aca="false">J226-K226</f>
        <v>3</v>
      </c>
      <c r="M226" s="11" t="n">
        <f aca="false">IF(J226=0,0,K226/J226)</f>
        <v>0.888888888888889</v>
      </c>
    </row>
    <row r="227" customFormat="false" ht="15" hidden="false" customHeight="false" outlineLevel="0" collapsed="false">
      <c r="A227" s="5" t="s">
        <v>492</v>
      </c>
      <c r="B227" s="5" t="s">
        <v>475</v>
      </c>
      <c r="C227" s="5" t="s">
        <v>429</v>
      </c>
      <c r="D227" s="5" t="s">
        <v>249</v>
      </c>
      <c r="E227" s="5" t="s">
        <v>186</v>
      </c>
      <c r="F227" s="5" t="s">
        <v>51</v>
      </c>
      <c r="G227" s="5" t="s">
        <v>52</v>
      </c>
      <c r="H227" s="5" t="n">
        <v>7</v>
      </c>
      <c r="I227" s="5" t="n">
        <v>7</v>
      </c>
      <c r="J227" s="5" t="n">
        <v>7</v>
      </c>
      <c r="K227" s="5" t="n">
        <v>7</v>
      </c>
      <c r="L227" s="5" t="n">
        <f aca="false">J227-K227</f>
        <v>0</v>
      </c>
      <c r="M227" s="11" t="n">
        <f aca="false">IF(J227=0,0,K227/J227)</f>
        <v>1</v>
      </c>
    </row>
    <row r="228" customFormat="false" ht="15" hidden="false" customHeight="false" outlineLevel="0" collapsed="false">
      <c r="A228" s="5" t="s">
        <v>493</v>
      </c>
      <c r="B228" s="5" t="s">
        <v>54</v>
      </c>
      <c r="C228" s="5" t="s">
        <v>48</v>
      </c>
      <c r="D228" s="5" t="s">
        <v>494</v>
      </c>
      <c r="E228" s="5" t="s">
        <v>454</v>
      </c>
      <c r="F228" s="5" t="s">
        <v>57</v>
      </c>
      <c r="G228" s="5" t="s">
        <v>58</v>
      </c>
      <c r="H228" s="5" t="n">
        <v>0</v>
      </c>
      <c r="I228" s="5" t="n">
        <v>0</v>
      </c>
      <c r="J228" s="5" t="n">
        <v>41</v>
      </c>
      <c r="K228" s="5" t="n">
        <v>36</v>
      </c>
      <c r="L228" s="5" t="n">
        <f aca="false">J228-K228</f>
        <v>5</v>
      </c>
      <c r="M228" s="11" t="n">
        <f aca="false">IF(J228=0,0,K228/J228)</f>
        <v>0.878048780487805</v>
      </c>
    </row>
    <row r="229" customFormat="false" ht="15" hidden="false" customHeight="false" outlineLevel="0" collapsed="false">
      <c r="A229" s="5" t="s">
        <v>495</v>
      </c>
      <c r="B229" s="5" t="s">
        <v>475</v>
      </c>
      <c r="C229" s="5" t="s">
        <v>429</v>
      </c>
      <c r="D229" s="5" t="s">
        <v>485</v>
      </c>
      <c r="E229" s="5" t="s">
        <v>56</v>
      </c>
      <c r="F229" s="5" t="s">
        <v>51</v>
      </c>
      <c r="G229" s="5" t="s">
        <v>52</v>
      </c>
      <c r="H229" s="5" t="n">
        <v>8</v>
      </c>
      <c r="I229" s="5" t="n">
        <v>8</v>
      </c>
      <c r="J229" s="5" t="n">
        <v>7</v>
      </c>
      <c r="K229" s="5" t="n">
        <v>7</v>
      </c>
      <c r="L229" s="5" t="n">
        <f aca="false">J229-K229</f>
        <v>0</v>
      </c>
      <c r="M229" s="11" t="n">
        <f aca="false">IF(J229=0,0,K229/J229)</f>
        <v>1</v>
      </c>
    </row>
    <row r="230" customFormat="false" ht="15" hidden="false" customHeight="false" outlineLevel="0" collapsed="false">
      <c r="A230" s="5" t="s">
        <v>496</v>
      </c>
      <c r="B230" s="5" t="s">
        <v>54</v>
      </c>
      <c r="C230" s="5" t="s">
        <v>48</v>
      </c>
      <c r="D230" s="5" t="s">
        <v>497</v>
      </c>
      <c r="E230" s="5" t="s">
        <v>452</v>
      </c>
      <c r="F230" s="5" t="s">
        <v>57</v>
      </c>
      <c r="G230" s="5" t="s">
        <v>58</v>
      </c>
      <c r="H230" s="5" t="n">
        <v>0</v>
      </c>
      <c r="I230" s="5" t="n">
        <v>0</v>
      </c>
      <c r="J230" s="5" t="n">
        <v>39</v>
      </c>
      <c r="K230" s="5" t="n">
        <v>37</v>
      </c>
      <c r="L230" s="5" t="n">
        <f aca="false">J230-K230</f>
        <v>2</v>
      </c>
      <c r="M230" s="11" t="n">
        <f aca="false">IF(J230=0,0,K230/J230)</f>
        <v>0.948717948717949</v>
      </c>
    </row>
    <row r="231" customFormat="false" ht="15" hidden="false" customHeight="false" outlineLevel="0" collapsed="false">
      <c r="A231" s="5" t="s">
        <v>498</v>
      </c>
      <c r="B231" s="5" t="s">
        <v>54</v>
      </c>
      <c r="C231" s="5" t="s">
        <v>48</v>
      </c>
      <c r="D231" s="5" t="s">
        <v>499</v>
      </c>
      <c r="E231" s="5" t="s">
        <v>56</v>
      </c>
      <c r="F231" s="5" t="s">
        <v>57</v>
      </c>
      <c r="G231" s="5" t="s">
        <v>58</v>
      </c>
      <c r="H231" s="5" t="n">
        <v>0</v>
      </c>
      <c r="I231" s="5" t="n">
        <v>0</v>
      </c>
      <c r="J231" s="5" t="n">
        <v>11</v>
      </c>
      <c r="K231" s="5" t="n">
        <v>9</v>
      </c>
      <c r="L231" s="5" t="n">
        <f aca="false">J231-K231</f>
        <v>2</v>
      </c>
      <c r="M231" s="11" t="n">
        <f aca="false">IF(J231=0,0,K231/J231)</f>
        <v>0.818181818181818</v>
      </c>
    </row>
    <row r="232" customFormat="false" ht="15" hidden="false" customHeight="false" outlineLevel="0" collapsed="false">
      <c r="A232" s="5" t="s">
        <v>500</v>
      </c>
      <c r="B232" s="5" t="s">
        <v>54</v>
      </c>
      <c r="C232" s="5" t="s">
        <v>48</v>
      </c>
      <c r="D232" s="5" t="s">
        <v>501</v>
      </c>
      <c r="E232" s="5" t="s">
        <v>463</v>
      </c>
      <c r="F232" s="5" t="s">
        <v>57</v>
      </c>
      <c r="G232" s="5" t="s">
        <v>58</v>
      </c>
      <c r="H232" s="5" t="n">
        <v>0</v>
      </c>
      <c r="I232" s="5" t="n">
        <v>0</v>
      </c>
      <c r="J232" s="5" t="n">
        <v>36</v>
      </c>
      <c r="K232" s="5" t="n">
        <v>33</v>
      </c>
      <c r="L232" s="5" t="n">
        <f aca="false">J232-K232</f>
        <v>3</v>
      </c>
      <c r="M232" s="11" t="n">
        <f aca="false">IF(J232=0,0,K232/J232)</f>
        <v>0.916666666666667</v>
      </c>
    </row>
    <row r="233" customFormat="false" ht="15" hidden="false" customHeight="false" outlineLevel="0" collapsed="false">
      <c r="A233" s="5" t="s">
        <v>502</v>
      </c>
      <c r="B233" s="5" t="s">
        <v>54</v>
      </c>
      <c r="C233" s="5" t="s">
        <v>48</v>
      </c>
      <c r="D233" s="5" t="s">
        <v>206</v>
      </c>
      <c r="E233" s="5" t="s">
        <v>56</v>
      </c>
      <c r="F233" s="5" t="s">
        <v>57</v>
      </c>
      <c r="G233" s="5" t="s">
        <v>58</v>
      </c>
      <c r="H233" s="5" t="n">
        <v>0</v>
      </c>
      <c r="I233" s="5" t="n">
        <v>0</v>
      </c>
      <c r="J233" s="5" t="n">
        <v>12</v>
      </c>
      <c r="K233" s="5" t="n">
        <v>11</v>
      </c>
      <c r="L233" s="5" t="n">
        <f aca="false">J233-K233</f>
        <v>1</v>
      </c>
      <c r="M233" s="11" t="n">
        <f aca="false">IF(J233=0,0,K233/J233)</f>
        <v>0.916666666666667</v>
      </c>
    </row>
    <row r="234" customFormat="false" ht="15" hidden="false" customHeight="false" outlineLevel="0" collapsed="false">
      <c r="A234" s="5" t="s">
        <v>503</v>
      </c>
      <c r="B234" s="5" t="s">
        <v>475</v>
      </c>
      <c r="C234" s="5" t="s">
        <v>429</v>
      </c>
      <c r="D234" s="5" t="s">
        <v>485</v>
      </c>
      <c r="E234" s="5" t="s">
        <v>56</v>
      </c>
      <c r="F234" s="5" t="s">
        <v>51</v>
      </c>
      <c r="G234" s="5" t="s">
        <v>52</v>
      </c>
      <c r="H234" s="5" t="n">
        <v>8</v>
      </c>
      <c r="I234" s="5" t="n">
        <v>8</v>
      </c>
      <c r="J234" s="5" t="n">
        <v>7</v>
      </c>
      <c r="K234" s="5" t="n">
        <v>7</v>
      </c>
      <c r="L234" s="5" t="n">
        <f aca="false">J234-K234</f>
        <v>0</v>
      </c>
      <c r="M234" s="11" t="n">
        <f aca="false">IF(J234=0,0,K234/J234)</f>
        <v>1</v>
      </c>
    </row>
    <row r="235" customFormat="false" ht="15" hidden="false" customHeight="false" outlineLevel="0" collapsed="false">
      <c r="A235" s="5" t="s">
        <v>504</v>
      </c>
      <c r="B235" s="5" t="s">
        <v>475</v>
      </c>
      <c r="C235" s="5" t="s">
        <v>429</v>
      </c>
      <c r="D235" s="5" t="s">
        <v>449</v>
      </c>
      <c r="E235" s="5" t="s">
        <v>206</v>
      </c>
      <c r="F235" s="5" t="s">
        <v>51</v>
      </c>
      <c r="G235" s="5" t="s">
        <v>52</v>
      </c>
      <c r="H235" s="5" t="n">
        <v>8</v>
      </c>
      <c r="I235" s="5" t="n">
        <v>8</v>
      </c>
      <c r="J235" s="5" t="n">
        <v>7</v>
      </c>
      <c r="K235" s="5" t="n">
        <v>7</v>
      </c>
      <c r="L235" s="5" t="n">
        <f aca="false">J235-K235</f>
        <v>0</v>
      </c>
      <c r="M235" s="11" t="n">
        <f aca="false">IF(J235=0,0,K235/J235)</f>
        <v>1</v>
      </c>
    </row>
    <row r="236" customFormat="false" ht="15" hidden="false" customHeight="false" outlineLevel="0" collapsed="false">
      <c r="A236" s="5" t="s">
        <v>505</v>
      </c>
      <c r="B236" s="5" t="s">
        <v>54</v>
      </c>
      <c r="C236" s="5" t="s">
        <v>429</v>
      </c>
      <c r="D236" s="5" t="s">
        <v>471</v>
      </c>
      <c r="E236" s="5" t="s">
        <v>446</v>
      </c>
      <c r="F236" s="5" t="s">
        <v>294</v>
      </c>
      <c r="G236" s="5" t="s">
        <v>295</v>
      </c>
      <c r="H236" s="5" t="n">
        <v>0</v>
      </c>
      <c r="I236" s="5" t="n">
        <v>0</v>
      </c>
      <c r="J236" s="5" t="n">
        <v>8</v>
      </c>
      <c r="K236" s="5" t="n">
        <v>8</v>
      </c>
      <c r="L236" s="5" t="n">
        <f aca="false">J236-K236</f>
        <v>0</v>
      </c>
      <c r="M236" s="11" t="n">
        <f aca="false">IF(J236=0,0,K236/J236)</f>
        <v>1</v>
      </c>
    </row>
    <row r="237" customFormat="false" ht="15" hidden="false" customHeight="false" outlineLevel="0" collapsed="false">
      <c r="A237" s="5" t="s">
        <v>506</v>
      </c>
      <c r="B237" s="5" t="s">
        <v>60</v>
      </c>
      <c r="C237" s="5" t="s">
        <v>48</v>
      </c>
      <c r="D237" s="5" t="s">
        <v>346</v>
      </c>
      <c r="E237" s="5" t="s">
        <v>299</v>
      </c>
      <c r="F237" s="5" t="s">
        <v>57</v>
      </c>
      <c r="G237" s="5" t="s">
        <v>58</v>
      </c>
      <c r="H237" s="5" t="n">
        <v>0</v>
      </c>
      <c r="I237" s="5" t="n">
        <v>0</v>
      </c>
      <c r="J237" s="5" t="n">
        <v>35</v>
      </c>
      <c r="K237" s="5" t="n">
        <v>16</v>
      </c>
      <c r="L237" s="5" t="n">
        <f aca="false">J237-K237</f>
        <v>19</v>
      </c>
      <c r="M237" s="11" t="n">
        <f aca="false">IF(J237=0,0,K237/J237)</f>
        <v>0.457142857142857</v>
      </c>
    </row>
    <row r="238" customFormat="false" ht="15" hidden="false" customHeight="false" outlineLevel="0" collapsed="false">
      <c r="A238" s="5" t="s">
        <v>507</v>
      </c>
      <c r="B238" s="5" t="s">
        <v>60</v>
      </c>
      <c r="C238" s="5" t="s">
        <v>48</v>
      </c>
      <c r="D238" s="5" t="s">
        <v>346</v>
      </c>
      <c r="E238" s="5" t="s">
        <v>50</v>
      </c>
      <c r="F238" s="5" t="s">
        <v>57</v>
      </c>
      <c r="G238" s="5" t="s">
        <v>58</v>
      </c>
      <c r="H238" s="5" t="n">
        <v>0</v>
      </c>
      <c r="I238" s="5" t="n">
        <v>0</v>
      </c>
      <c r="J238" s="5" t="n">
        <v>35</v>
      </c>
      <c r="K238" s="5" t="n">
        <v>21</v>
      </c>
      <c r="L238" s="5" t="n">
        <f aca="false">J238-K238</f>
        <v>14</v>
      </c>
      <c r="M238" s="11" t="n">
        <f aca="false">IF(J238=0,0,K238/J238)</f>
        <v>0.6</v>
      </c>
    </row>
    <row r="239" customFormat="false" ht="15" hidden="false" customHeight="false" outlineLevel="0" collapsed="false">
      <c r="A239" s="5" t="s">
        <v>508</v>
      </c>
      <c r="B239" s="5" t="s">
        <v>104</v>
      </c>
      <c r="C239" s="5" t="s">
        <v>48</v>
      </c>
      <c r="D239" s="5" t="s">
        <v>509</v>
      </c>
      <c r="E239" s="5" t="s">
        <v>510</v>
      </c>
      <c r="F239" s="5" t="s">
        <v>57</v>
      </c>
      <c r="G239" s="5" t="s">
        <v>58</v>
      </c>
      <c r="H239" s="5" t="n">
        <v>0</v>
      </c>
      <c r="I239" s="5" t="n">
        <v>0</v>
      </c>
      <c r="J239" s="5" t="n">
        <v>3</v>
      </c>
      <c r="K239" s="5" t="n">
        <v>3</v>
      </c>
      <c r="L239" s="5" t="n">
        <f aca="false">J239-K239</f>
        <v>0</v>
      </c>
      <c r="M239" s="11" t="n">
        <f aca="false">IF(J239=0,0,K239/J239)</f>
        <v>1</v>
      </c>
    </row>
    <row r="240" customFormat="false" ht="15" hidden="false" customHeight="false" outlineLevel="0" collapsed="false">
      <c r="A240" s="5" t="s">
        <v>511</v>
      </c>
      <c r="B240" s="5" t="s">
        <v>104</v>
      </c>
      <c r="C240" s="5" t="s">
        <v>48</v>
      </c>
      <c r="D240" s="5" t="s">
        <v>509</v>
      </c>
      <c r="E240" s="5" t="s">
        <v>510</v>
      </c>
      <c r="F240" s="5" t="s">
        <v>57</v>
      </c>
      <c r="G240" s="5" t="s">
        <v>58</v>
      </c>
      <c r="H240" s="5" t="n">
        <v>0</v>
      </c>
      <c r="I240" s="5" t="n">
        <v>0</v>
      </c>
      <c r="J240" s="5" t="n">
        <v>3</v>
      </c>
      <c r="K240" s="5" t="n">
        <v>3</v>
      </c>
      <c r="L240" s="5" t="n">
        <f aca="false">J240-K240</f>
        <v>0</v>
      </c>
      <c r="M240" s="11" t="n">
        <f aca="false">IF(J240=0,0,K240/J240)</f>
        <v>1</v>
      </c>
    </row>
    <row r="241" customFormat="false" ht="15" hidden="false" customHeight="false" outlineLevel="0" collapsed="false">
      <c r="A241" s="5" t="s">
        <v>512</v>
      </c>
      <c r="B241" s="5" t="s">
        <v>104</v>
      </c>
      <c r="C241" s="5" t="s">
        <v>48</v>
      </c>
      <c r="D241" s="5" t="s">
        <v>509</v>
      </c>
      <c r="E241" s="5" t="s">
        <v>510</v>
      </c>
      <c r="F241" s="5" t="s">
        <v>57</v>
      </c>
      <c r="G241" s="5" t="s">
        <v>58</v>
      </c>
      <c r="H241" s="5" t="n">
        <v>0</v>
      </c>
      <c r="I241" s="5" t="n">
        <v>0</v>
      </c>
      <c r="J241" s="5" t="n">
        <v>3</v>
      </c>
      <c r="K241" s="5" t="n">
        <v>3</v>
      </c>
      <c r="L241" s="5" t="n">
        <f aca="false">J241-K241</f>
        <v>0</v>
      </c>
      <c r="M241" s="11" t="n">
        <f aca="false">IF(J241=0,0,K241/J241)</f>
        <v>1</v>
      </c>
    </row>
    <row r="242" customFormat="false" ht="15" hidden="false" customHeight="false" outlineLevel="0" collapsed="false">
      <c r="A242" s="5" t="s">
        <v>513</v>
      </c>
      <c r="B242" s="5" t="s">
        <v>60</v>
      </c>
      <c r="C242" s="5" t="s">
        <v>48</v>
      </c>
      <c r="D242" s="5" t="s">
        <v>337</v>
      </c>
      <c r="E242" s="5" t="s">
        <v>446</v>
      </c>
      <c r="F242" s="5" t="s">
        <v>57</v>
      </c>
      <c r="G242" s="5" t="s">
        <v>58</v>
      </c>
      <c r="H242" s="5" t="n">
        <v>0</v>
      </c>
      <c r="I242" s="5" t="n">
        <v>0</v>
      </c>
      <c r="J242" s="5" t="n">
        <v>32</v>
      </c>
      <c r="K242" s="5" t="n">
        <v>26</v>
      </c>
      <c r="L242" s="5" t="n">
        <f aca="false">J242-K242</f>
        <v>6</v>
      </c>
      <c r="M242" s="11" t="n">
        <f aca="false">IF(J242=0,0,K242/J242)</f>
        <v>0.8125</v>
      </c>
    </row>
    <row r="243" customFormat="false" ht="15" hidden="false" customHeight="false" outlineLevel="0" collapsed="false">
      <c r="A243" s="5" t="s">
        <v>514</v>
      </c>
      <c r="B243" s="5" t="s">
        <v>60</v>
      </c>
      <c r="C243" s="5" t="s">
        <v>48</v>
      </c>
      <c r="D243" s="5" t="s">
        <v>515</v>
      </c>
      <c r="E243" s="5" t="s">
        <v>206</v>
      </c>
      <c r="F243" s="5" t="s">
        <v>57</v>
      </c>
      <c r="G243" s="5" t="s">
        <v>58</v>
      </c>
      <c r="H243" s="5" t="n">
        <v>0</v>
      </c>
      <c r="I243" s="5" t="n">
        <v>0</v>
      </c>
      <c r="J243" s="5" t="n">
        <v>40</v>
      </c>
      <c r="K243" s="5" t="n">
        <v>34</v>
      </c>
      <c r="L243" s="5" t="n">
        <f aca="false">J243-K243</f>
        <v>6</v>
      </c>
      <c r="M243" s="11" t="n">
        <f aca="false">IF(J243=0,0,K243/J243)</f>
        <v>0.85</v>
      </c>
    </row>
    <row r="244" customFormat="false" ht="15" hidden="false" customHeight="false" outlineLevel="0" collapsed="false">
      <c r="A244" s="5" t="s">
        <v>516</v>
      </c>
      <c r="B244" s="5" t="s">
        <v>60</v>
      </c>
      <c r="C244" s="5" t="s">
        <v>48</v>
      </c>
      <c r="D244" s="5" t="s">
        <v>517</v>
      </c>
      <c r="E244" s="5" t="s">
        <v>56</v>
      </c>
      <c r="F244" s="5" t="s">
        <v>57</v>
      </c>
      <c r="G244" s="5" t="s">
        <v>58</v>
      </c>
      <c r="H244" s="5" t="n">
        <v>0</v>
      </c>
      <c r="I244" s="5" t="n">
        <v>0</v>
      </c>
      <c r="J244" s="5" t="n">
        <v>16</v>
      </c>
      <c r="K244" s="5" t="n">
        <v>11</v>
      </c>
      <c r="L244" s="5" t="n">
        <f aca="false">J244-K244</f>
        <v>5</v>
      </c>
      <c r="M244" s="11" t="n">
        <f aca="false">IF(J244=0,0,K244/J244)</f>
        <v>0.6875</v>
      </c>
    </row>
    <row r="245" customFormat="false" ht="15" hidden="false" customHeight="false" outlineLevel="0" collapsed="false">
      <c r="A245" s="5" t="s">
        <v>518</v>
      </c>
      <c r="B245" s="5" t="s">
        <v>60</v>
      </c>
      <c r="C245" s="5" t="s">
        <v>48</v>
      </c>
      <c r="D245" s="5" t="s">
        <v>519</v>
      </c>
      <c r="E245" s="5" t="s">
        <v>491</v>
      </c>
      <c r="F245" s="5" t="s">
        <v>57</v>
      </c>
      <c r="G245" s="5" t="s">
        <v>58</v>
      </c>
      <c r="H245" s="5" t="n">
        <v>0</v>
      </c>
      <c r="I245" s="5" t="n">
        <v>0</v>
      </c>
      <c r="J245" s="5" t="n">
        <v>36</v>
      </c>
      <c r="K245" s="5" t="n">
        <v>27</v>
      </c>
      <c r="L245" s="5" t="n">
        <f aca="false">J245-K245</f>
        <v>9</v>
      </c>
      <c r="M245" s="11" t="n">
        <f aca="false">IF(J245=0,0,K245/J245)</f>
        <v>0.75</v>
      </c>
    </row>
    <row r="246" customFormat="false" ht="15" hidden="false" customHeight="false" outlineLevel="0" collapsed="false">
      <c r="A246" s="5" t="s">
        <v>520</v>
      </c>
      <c r="B246" s="5" t="s">
        <v>60</v>
      </c>
      <c r="C246" s="5" t="s">
        <v>48</v>
      </c>
      <c r="D246" s="5" t="s">
        <v>193</v>
      </c>
      <c r="E246" s="5" t="s">
        <v>173</v>
      </c>
      <c r="F246" s="5" t="s">
        <v>57</v>
      </c>
      <c r="G246" s="5" t="s">
        <v>58</v>
      </c>
      <c r="H246" s="5" t="n">
        <v>0</v>
      </c>
      <c r="I246" s="5" t="n">
        <v>0</v>
      </c>
      <c r="J246" s="5" t="n">
        <v>55</v>
      </c>
      <c r="K246" s="5" t="n">
        <v>42</v>
      </c>
      <c r="L246" s="5" t="n">
        <f aca="false">J246-K246</f>
        <v>13</v>
      </c>
      <c r="M246" s="11" t="n">
        <f aca="false">IF(J246=0,0,K246/J246)</f>
        <v>0.763636363636364</v>
      </c>
    </row>
    <row r="247" customFormat="false" ht="15" hidden="false" customHeight="false" outlineLevel="0" collapsed="false">
      <c r="A247" s="5" t="s">
        <v>521</v>
      </c>
      <c r="B247" s="5" t="s">
        <v>60</v>
      </c>
      <c r="C247" s="5" t="s">
        <v>48</v>
      </c>
      <c r="D247" s="5" t="s">
        <v>193</v>
      </c>
      <c r="E247" s="5" t="s">
        <v>522</v>
      </c>
      <c r="F247" s="5" t="s">
        <v>57</v>
      </c>
      <c r="G247" s="5" t="s">
        <v>58</v>
      </c>
      <c r="H247" s="5" t="n">
        <v>0</v>
      </c>
      <c r="I247" s="5" t="n">
        <v>0</v>
      </c>
      <c r="J247" s="5" t="n">
        <v>52</v>
      </c>
      <c r="K247" s="5" t="n">
        <v>46</v>
      </c>
      <c r="L247" s="5" t="n">
        <f aca="false">J247-K247</f>
        <v>6</v>
      </c>
      <c r="M247" s="11" t="n">
        <f aca="false">IF(J247=0,0,K247/J247)</f>
        <v>0.884615384615385</v>
      </c>
    </row>
    <row r="248" customFormat="false" ht="15" hidden="false" customHeight="false" outlineLevel="0" collapsed="false">
      <c r="A248" s="5" t="s">
        <v>523</v>
      </c>
      <c r="B248" s="5" t="s">
        <v>60</v>
      </c>
      <c r="C248" s="5" t="s">
        <v>48</v>
      </c>
      <c r="D248" s="5" t="s">
        <v>193</v>
      </c>
      <c r="E248" s="5" t="s">
        <v>309</v>
      </c>
      <c r="F248" s="5" t="s">
        <v>57</v>
      </c>
      <c r="G248" s="5" t="s">
        <v>58</v>
      </c>
      <c r="H248" s="5" t="n">
        <v>0</v>
      </c>
      <c r="I248" s="5" t="n">
        <v>0</v>
      </c>
      <c r="J248" s="5" t="n">
        <v>39</v>
      </c>
      <c r="K248" s="5" t="n">
        <v>32</v>
      </c>
      <c r="L248" s="5" t="n">
        <f aca="false">J248-K248</f>
        <v>7</v>
      </c>
      <c r="M248" s="11" t="n">
        <f aca="false">IF(J248=0,0,K248/J248)</f>
        <v>0.820512820512821</v>
      </c>
    </row>
    <row r="249" customFormat="false" ht="15" hidden="false" customHeight="false" outlineLevel="0" collapsed="false">
      <c r="A249" s="5" t="s">
        <v>524</v>
      </c>
      <c r="B249" s="5" t="s">
        <v>60</v>
      </c>
      <c r="C249" s="5" t="s">
        <v>48</v>
      </c>
      <c r="D249" s="5" t="s">
        <v>193</v>
      </c>
      <c r="E249" s="5" t="s">
        <v>525</v>
      </c>
      <c r="F249" s="5" t="s">
        <v>57</v>
      </c>
      <c r="G249" s="5" t="s">
        <v>58</v>
      </c>
      <c r="H249" s="5" t="n">
        <v>0</v>
      </c>
      <c r="I249" s="5" t="n">
        <v>0</v>
      </c>
      <c r="J249" s="5" t="n">
        <v>30</v>
      </c>
      <c r="K249" s="5" t="n">
        <v>28</v>
      </c>
      <c r="L249" s="5" t="n">
        <f aca="false">J249-K249</f>
        <v>2</v>
      </c>
      <c r="M249" s="11" t="n">
        <f aca="false">IF(J249=0,0,K249/J249)</f>
        <v>0.933333333333333</v>
      </c>
    </row>
    <row r="250" customFormat="false" ht="15" hidden="false" customHeight="false" outlineLevel="0" collapsed="false">
      <c r="A250" s="5" t="s">
        <v>526</v>
      </c>
      <c r="B250" s="5" t="s">
        <v>60</v>
      </c>
      <c r="C250" s="5" t="s">
        <v>48</v>
      </c>
      <c r="D250" s="5" t="s">
        <v>527</v>
      </c>
      <c r="E250" s="5" t="s">
        <v>528</v>
      </c>
      <c r="F250" s="5" t="s">
        <v>57</v>
      </c>
      <c r="G250" s="5" t="s">
        <v>58</v>
      </c>
      <c r="H250" s="5" t="n">
        <v>0</v>
      </c>
      <c r="I250" s="5" t="n">
        <v>0</v>
      </c>
      <c r="J250" s="5" t="n">
        <v>21</v>
      </c>
      <c r="K250" s="5" t="n">
        <v>18</v>
      </c>
      <c r="L250" s="5" t="n">
        <f aca="false">J250-K250</f>
        <v>3</v>
      </c>
      <c r="M250" s="11" t="n">
        <f aca="false">IF(J250=0,0,K250/J250)</f>
        <v>0.857142857142857</v>
      </c>
    </row>
    <row r="251" customFormat="false" ht="15" hidden="false" customHeight="false" outlineLevel="0" collapsed="false">
      <c r="A251" s="5" t="s">
        <v>529</v>
      </c>
      <c r="B251" s="5" t="s">
        <v>60</v>
      </c>
      <c r="C251" s="5" t="s">
        <v>48</v>
      </c>
      <c r="D251" s="5" t="s">
        <v>354</v>
      </c>
      <c r="E251" s="5" t="s">
        <v>530</v>
      </c>
      <c r="F251" s="5" t="s">
        <v>57</v>
      </c>
      <c r="G251" s="5" t="s">
        <v>58</v>
      </c>
      <c r="H251" s="5" t="n">
        <v>0</v>
      </c>
      <c r="I251" s="5" t="n">
        <v>0</v>
      </c>
      <c r="J251" s="5" t="n">
        <v>45</v>
      </c>
      <c r="K251" s="5" t="n">
        <v>36</v>
      </c>
      <c r="L251" s="5" t="n">
        <f aca="false">J251-K251</f>
        <v>9</v>
      </c>
      <c r="M251" s="11" t="n">
        <f aca="false">IF(J251=0,0,K251/J251)</f>
        <v>0.8</v>
      </c>
    </row>
    <row r="252" customFormat="false" ht="15" hidden="false" customHeight="false" outlineLevel="0" collapsed="false">
      <c r="A252" s="5" t="s">
        <v>531</v>
      </c>
      <c r="B252" s="5" t="s">
        <v>60</v>
      </c>
      <c r="C252" s="5" t="s">
        <v>48</v>
      </c>
      <c r="D252" s="5" t="s">
        <v>532</v>
      </c>
      <c r="E252" s="5" t="s">
        <v>206</v>
      </c>
      <c r="F252" s="5" t="s">
        <v>57</v>
      </c>
      <c r="G252" s="5" t="s">
        <v>58</v>
      </c>
      <c r="H252" s="5" t="n">
        <v>0</v>
      </c>
      <c r="I252" s="5" t="n">
        <v>0</v>
      </c>
      <c r="J252" s="5" t="n">
        <v>29</v>
      </c>
      <c r="K252" s="5" t="n">
        <v>23</v>
      </c>
      <c r="L252" s="5" t="n">
        <f aca="false">J252-K252</f>
        <v>6</v>
      </c>
      <c r="M252" s="11" t="n">
        <f aca="false">IF(J252=0,0,K252/J252)</f>
        <v>0.793103448275862</v>
      </c>
    </row>
    <row r="253" customFormat="false" ht="15" hidden="false" customHeight="false" outlineLevel="0" collapsed="false">
      <c r="A253" s="5" t="s">
        <v>533</v>
      </c>
      <c r="B253" s="5" t="s">
        <v>60</v>
      </c>
      <c r="C253" s="5" t="s">
        <v>48</v>
      </c>
      <c r="D253" s="5" t="s">
        <v>534</v>
      </c>
      <c r="E253" s="5" t="s">
        <v>357</v>
      </c>
      <c r="F253" s="5" t="s">
        <v>57</v>
      </c>
      <c r="G253" s="5" t="s">
        <v>58</v>
      </c>
      <c r="H253" s="5" t="n">
        <v>0</v>
      </c>
      <c r="I253" s="5" t="n">
        <v>0</v>
      </c>
      <c r="J253" s="5" t="n">
        <v>36</v>
      </c>
      <c r="K253" s="5" t="n">
        <v>20</v>
      </c>
      <c r="L253" s="5" t="n">
        <f aca="false">J253-K253</f>
        <v>16</v>
      </c>
      <c r="M253" s="11" t="n">
        <f aca="false">IF(J253=0,0,K253/J253)</f>
        <v>0.555555555555556</v>
      </c>
    </row>
    <row r="254" customFormat="false" ht="15" hidden="false" customHeight="false" outlineLevel="0" collapsed="false">
      <c r="A254" s="5" t="s">
        <v>535</v>
      </c>
      <c r="B254" s="5" t="s">
        <v>60</v>
      </c>
      <c r="C254" s="5" t="s">
        <v>48</v>
      </c>
      <c r="D254" s="5" t="s">
        <v>420</v>
      </c>
      <c r="E254" s="5" t="s">
        <v>206</v>
      </c>
      <c r="F254" s="5" t="s">
        <v>57</v>
      </c>
      <c r="G254" s="5" t="s">
        <v>58</v>
      </c>
      <c r="H254" s="5" t="n">
        <v>0</v>
      </c>
      <c r="I254" s="5" t="n">
        <v>0</v>
      </c>
      <c r="J254" s="5" t="n">
        <v>69</v>
      </c>
      <c r="K254" s="5" t="n">
        <v>36</v>
      </c>
      <c r="L254" s="5" t="n">
        <f aca="false">J254-K254</f>
        <v>33</v>
      </c>
      <c r="M254" s="11" t="n">
        <f aca="false">IF(J254=0,0,K254/J254)</f>
        <v>0.521739130434783</v>
      </c>
    </row>
    <row r="255" customFormat="false" ht="15" hidden="false" customHeight="false" outlineLevel="0" collapsed="false">
      <c r="A255" s="5" t="s">
        <v>536</v>
      </c>
      <c r="B255" s="5" t="s">
        <v>104</v>
      </c>
      <c r="C255" s="5" t="s">
        <v>48</v>
      </c>
      <c r="D255" s="5" t="s">
        <v>537</v>
      </c>
      <c r="E255" s="5" t="s">
        <v>106</v>
      </c>
      <c r="F255" s="5" t="s">
        <v>57</v>
      </c>
      <c r="G255" s="5" t="s">
        <v>58</v>
      </c>
      <c r="H255" s="5" t="n">
        <v>0</v>
      </c>
      <c r="I255" s="5" t="n">
        <v>0</v>
      </c>
      <c r="J255" s="5" t="n">
        <v>5</v>
      </c>
      <c r="K255" s="5" t="n">
        <v>5</v>
      </c>
      <c r="L255" s="5" t="n">
        <f aca="false">J255-K255</f>
        <v>0</v>
      </c>
      <c r="M255" s="11" t="n">
        <f aca="false">IF(J255=0,0,K255/J255)</f>
        <v>1</v>
      </c>
    </row>
    <row r="256" customFormat="false" ht="15" hidden="false" customHeight="false" outlineLevel="0" collapsed="false">
      <c r="A256" s="5" t="s">
        <v>538</v>
      </c>
      <c r="B256" s="5" t="s">
        <v>539</v>
      </c>
      <c r="C256" s="5" t="s">
        <v>48</v>
      </c>
      <c r="D256" s="5" t="s">
        <v>56</v>
      </c>
      <c r="E256" s="5" t="s">
        <v>303</v>
      </c>
      <c r="F256" s="5" t="s">
        <v>51</v>
      </c>
      <c r="G256" s="5" t="s">
        <v>52</v>
      </c>
      <c r="H256" s="5" t="n">
        <v>7</v>
      </c>
      <c r="I256" s="5" t="n">
        <v>7</v>
      </c>
      <c r="J256" s="5" t="n">
        <v>7</v>
      </c>
      <c r="K256" s="5" t="n">
        <v>7</v>
      </c>
      <c r="L256" s="5" t="n">
        <f aca="false">J256-K256</f>
        <v>0</v>
      </c>
      <c r="M256" s="11" t="n">
        <f aca="false">IF(J256=0,0,K256/J256)</f>
        <v>1</v>
      </c>
    </row>
    <row r="257" customFormat="false" ht="15" hidden="false" customHeight="false" outlineLevel="0" collapsed="false">
      <c r="A257" s="5" t="s">
        <v>540</v>
      </c>
      <c r="B257" s="5" t="s">
        <v>54</v>
      </c>
      <c r="C257" s="5" t="s">
        <v>48</v>
      </c>
      <c r="D257" s="5" t="s">
        <v>541</v>
      </c>
      <c r="E257" s="5" t="s">
        <v>332</v>
      </c>
      <c r="F257" s="5" t="s">
        <v>57</v>
      </c>
      <c r="G257" s="5" t="s">
        <v>58</v>
      </c>
      <c r="H257" s="5" t="n">
        <v>0</v>
      </c>
      <c r="I257" s="5" t="n">
        <v>0</v>
      </c>
      <c r="J257" s="5" t="n">
        <v>26</v>
      </c>
      <c r="K257" s="5" t="n">
        <v>18</v>
      </c>
      <c r="L257" s="5" t="n">
        <f aca="false">J257-K257</f>
        <v>8</v>
      </c>
      <c r="M257" s="11" t="n">
        <f aca="false">IF(J257=0,0,K257/J257)</f>
        <v>0.692307692307692</v>
      </c>
    </row>
    <row r="258" customFormat="false" ht="15" hidden="false" customHeight="false" outlineLevel="0" collapsed="false">
      <c r="A258" s="5" t="s">
        <v>542</v>
      </c>
      <c r="B258" s="5" t="s">
        <v>54</v>
      </c>
      <c r="C258" s="5" t="s">
        <v>48</v>
      </c>
      <c r="D258" s="5" t="s">
        <v>56</v>
      </c>
      <c r="E258" s="5" t="s">
        <v>98</v>
      </c>
      <c r="F258" s="5" t="s">
        <v>57</v>
      </c>
      <c r="G258" s="5" t="s">
        <v>58</v>
      </c>
      <c r="H258" s="5" t="n">
        <v>0</v>
      </c>
      <c r="I258" s="5" t="n">
        <v>0</v>
      </c>
      <c r="J258" s="5" t="n">
        <v>13</v>
      </c>
      <c r="K258" s="5" t="n">
        <v>9</v>
      </c>
      <c r="L258" s="5" t="n">
        <f aca="false">J258-K258</f>
        <v>4</v>
      </c>
      <c r="M258" s="11" t="n">
        <f aca="false">IF(J258=0,0,K258/J258)</f>
        <v>0.692307692307692</v>
      </c>
    </row>
    <row r="259" customFormat="false" ht="15" hidden="false" customHeight="false" outlineLevel="0" collapsed="false">
      <c r="A259" s="5" t="s">
        <v>543</v>
      </c>
      <c r="B259" s="5" t="s">
        <v>54</v>
      </c>
      <c r="C259" s="5" t="s">
        <v>48</v>
      </c>
      <c r="D259" s="5" t="s">
        <v>387</v>
      </c>
      <c r="E259" s="5" t="s">
        <v>544</v>
      </c>
      <c r="F259" s="5" t="s">
        <v>57</v>
      </c>
      <c r="G259" s="5" t="s">
        <v>58</v>
      </c>
      <c r="H259" s="5" t="n">
        <v>0</v>
      </c>
      <c r="I259" s="5" t="n">
        <v>0</v>
      </c>
      <c r="J259" s="5" t="n">
        <v>34</v>
      </c>
      <c r="K259" s="5" t="n">
        <v>31</v>
      </c>
      <c r="L259" s="5" t="n">
        <f aca="false">J259-K259</f>
        <v>3</v>
      </c>
      <c r="M259" s="11" t="n">
        <f aca="false">IF(J259=0,0,K259/J259)</f>
        <v>0.911764705882353</v>
      </c>
    </row>
    <row r="260" customFormat="false" ht="15" hidden="false" customHeight="false" outlineLevel="0" collapsed="false">
      <c r="A260" s="5" t="s">
        <v>545</v>
      </c>
      <c r="B260" s="5" t="s">
        <v>54</v>
      </c>
      <c r="C260" s="5" t="s">
        <v>48</v>
      </c>
      <c r="D260" s="5" t="s">
        <v>64</v>
      </c>
      <c r="E260" s="5" t="s">
        <v>437</v>
      </c>
      <c r="F260" s="5" t="s">
        <v>57</v>
      </c>
      <c r="G260" s="5" t="s">
        <v>58</v>
      </c>
      <c r="H260" s="5" t="n">
        <v>0</v>
      </c>
      <c r="I260" s="5" t="n">
        <v>0</v>
      </c>
      <c r="J260" s="5" t="n">
        <v>11</v>
      </c>
      <c r="K260" s="5" t="n">
        <v>8</v>
      </c>
      <c r="L260" s="5" t="n">
        <f aca="false">J260-K260</f>
        <v>3</v>
      </c>
      <c r="M260" s="11" t="n">
        <f aca="false">IF(J260=0,0,K260/J260)</f>
        <v>0.727272727272727</v>
      </c>
    </row>
    <row r="261" customFormat="false" ht="15" hidden="false" customHeight="false" outlineLevel="0" collapsed="false">
      <c r="A261" s="5" t="s">
        <v>546</v>
      </c>
      <c r="B261" s="5" t="s">
        <v>539</v>
      </c>
      <c r="C261" s="5" t="s">
        <v>48</v>
      </c>
      <c r="D261" s="5" t="s">
        <v>56</v>
      </c>
      <c r="E261" s="5" t="s">
        <v>547</v>
      </c>
      <c r="F261" s="5" t="s">
        <v>51</v>
      </c>
      <c r="G261" s="5" t="s">
        <v>52</v>
      </c>
      <c r="H261" s="5" t="n">
        <v>7</v>
      </c>
      <c r="I261" s="5" t="n">
        <v>7</v>
      </c>
      <c r="J261" s="5" t="n">
        <v>6</v>
      </c>
      <c r="K261" s="5" t="n">
        <v>6</v>
      </c>
      <c r="L261" s="5" t="n">
        <f aca="false">J261-K261</f>
        <v>0</v>
      </c>
      <c r="M261" s="11" t="n">
        <f aca="false">IF(J261=0,0,K261/J261)</f>
        <v>1</v>
      </c>
    </row>
    <row r="262" customFormat="false" ht="15" hidden="false" customHeight="false" outlineLevel="0" collapsed="false">
      <c r="A262" s="5" t="s">
        <v>548</v>
      </c>
      <c r="B262" s="5" t="s">
        <v>54</v>
      </c>
      <c r="C262" s="5" t="s">
        <v>48</v>
      </c>
      <c r="D262" s="5" t="s">
        <v>549</v>
      </c>
      <c r="E262" s="5" t="s">
        <v>550</v>
      </c>
      <c r="F262" s="5" t="s">
        <v>57</v>
      </c>
      <c r="G262" s="5" t="s">
        <v>58</v>
      </c>
      <c r="H262" s="5" t="n">
        <v>0</v>
      </c>
      <c r="I262" s="5" t="n">
        <v>0</v>
      </c>
      <c r="J262" s="5" t="n">
        <v>27</v>
      </c>
      <c r="K262" s="5" t="n">
        <v>23</v>
      </c>
      <c r="L262" s="5" t="n">
        <f aca="false">J262-K262</f>
        <v>4</v>
      </c>
      <c r="M262" s="11" t="n">
        <f aca="false">IF(J262=0,0,K262/J262)</f>
        <v>0.851851851851852</v>
      </c>
    </row>
    <row r="263" customFormat="false" ht="15" hidden="false" customHeight="false" outlineLevel="0" collapsed="false">
      <c r="A263" s="5" t="s">
        <v>551</v>
      </c>
      <c r="B263" s="5" t="s">
        <v>54</v>
      </c>
      <c r="C263" s="5" t="s">
        <v>48</v>
      </c>
      <c r="D263" s="5" t="s">
        <v>62</v>
      </c>
      <c r="E263" s="5" t="s">
        <v>56</v>
      </c>
      <c r="F263" s="5" t="s">
        <v>57</v>
      </c>
      <c r="G263" s="5" t="s">
        <v>58</v>
      </c>
      <c r="H263" s="5" t="n">
        <v>0</v>
      </c>
      <c r="I263" s="5" t="n">
        <v>0</v>
      </c>
      <c r="J263" s="5" t="n">
        <v>6</v>
      </c>
      <c r="K263" s="5" t="n">
        <v>6</v>
      </c>
      <c r="L263" s="5" t="n">
        <f aca="false">J263-K263</f>
        <v>0</v>
      </c>
      <c r="M263" s="11" t="n">
        <f aca="false">IF(J263=0,0,K263/J263)</f>
        <v>1</v>
      </c>
    </row>
    <row r="264" customFormat="false" ht="15" hidden="false" customHeight="false" outlineLevel="0" collapsed="false">
      <c r="A264" s="5" t="s">
        <v>552</v>
      </c>
      <c r="B264" s="5" t="s">
        <v>54</v>
      </c>
      <c r="C264" s="5" t="s">
        <v>48</v>
      </c>
      <c r="D264" s="5" t="s">
        <v>56</v>
      </c>
      <c r="E264" s="5" t="s">
        <v>553</v>
      </c>
      <c r="F264" s="5" t="s">
        <v>57</v>
      </c>
      <c r="G264" s="5" t="s">
        <v>58</v>
      </c>
      <c r="H264" s="5" t="n">
        <v>0</v>
      </c>
      <c r="I264" s="5" t="n">
        <v>0</v>
      </c>
      <c r="J264" s="5" t="n">
        <v>41</v>
      </c>
      <c r="K264" s="5" t="n">
        <v>27</v>
      </c>
      <c r="L264" s="5" t="n">
        <f aca="false">J264-K264</f>
        <v>14</v>
      </c>
      <c r="M264" s="11" t="n">
        <f aca="false">IF(J264=0,0,K264/J264)</f>
        <v>0.658536585365854</v>
      </c>
    </row>
    <row r="265" customFormat="false" ht="15" hidden="false" customHeight="false" outlineLevel="0" collapsed="false">
      <c r="A265" s="5" t="s">
        <v>554</v>
      </c>
      <c r="B265" s="5" t="s">
        <v>54</v>
      </c>
      <c r="C265" s="5" t="s">
        <v>48</v>
      </c>
      <c r="D265" s="5" t="s">
        <v>56</v>
      </c>
      <c r="E265" s="5" t="s">
        <v>393</v>
      </c>
      <c r="F265" s="5" t="s">
        <v>57</v>
      </c>
      <c r="G265" s="5" t="s">
        <v>58</v>
      </c>
      <c r="H265" s="5" t="n">
        <v>0</v>
      </c>
      <c r="I265" s="5" t="n">
        <v>0</v>
      </c>
      <c r="J265" s="5" t="n">
        <v>24</v>
      </c>
      <c r="K265" s="5" t="n">
        <v>22</v>
      </c>
      <c r="L265" s="5" t="n">
        <f aca="false">J265-K265</f>
        <v>2</v>
      </c>
      <c r="M265" s="11" t="n">
        <f aca="false">IF(J265=0,0,K265/J265)</f>
        <v>0.916666666666667</v>
      </c>
    </row>
    <row r="266" customFormat="false" ht="15" hidden="false" customHeight="false" outlineLevel="0" collapsed="false">
      <c r="A266" s="5" t="s">
        <v>555</v>
      </c>
      <c r="B266" s="5" t="s">
        <v>539</v>
      </c>
      <c r="C266" s="5" t="s">
        <v>48</v>
      </c>
      <c r="D266" s="5" t="s">
        <v>56</v>
      </c>
      <c r="E266" s="5" t="s">
        <v>374</v>
      </c>
      <c r="F266" s="5" t="s">
        <v>51</v>
      </c>
      <c r="G266" s="5" t="s">
        <v>52</v>
      </c>
      <c r="H266" s="5" t="n">
        <v>7</v>
      </c>
      <c r="I266" s="5" t="n">
        <v>7</v>
      </c>
      <c r="J266" s="5" t="n">
        <v>7</v>
      </c>
      <c r="K266" s="5" t="n">
        <v>7</v>
      </c>
      <c r="L266" s="5" t="n">
        <f aca="false">J266-K266</f>
        <v>0</v>
      </c>
      <c r="M266" s="11" t="n">
        <f aca="false">IF(J266=0,0,K266/J266)</f>
        <v>1</v>
      </c>
    </row>
    <row r="267" customFormat="false" ht="15" hidden="false" customHeight="false" outlineLevel="0" collapsed="false">
      <c r="A267" s="5" t="s">
        <v>556</v>
      </c>
      <c r="B267" s="5" t="s">
        <v>54</v>
      </c>
      <c r="C267" s="5" t="s">
        <v>48</v>
      </c>
      <c r="D267" s="5" t="s">
        <v>56</v>
      </c>
      <c r="E267" s="5" t="s">
        <v>378</v>
      </c>
      <c r="F267" s="5" t="s">
        <v>57</v>
      </c>
      <c r="G267" s="5" t="s">
        <v>58</v>
      </c>
      <c r="H267" s="5" t="n">
        <v>0</v>
      </c>
      <c r="I267" s="5" t="n">
        <v>0</v>
      </c>
      <c r="J267" s="5" t="n">
        <v>19</v>
      </c>
      <c r="K267" s="5" t="n">
        <v>12</v>
      </c>
      <c r="L267" s="5" t="n">
        <f aca="false">J267-K267</f>
        <v>7</v>
      </c>
      <c r="M267" s="11" t="n">
        <f aca="false">IF(J267=0,0,K267/J267)</f>
        <v>0.631578947368421</v>
      </c>
    </row>
    <row r="268" customFormat="false" ht="15" hidden="false" customHeight="false" outlineLevel="0" collapsed="false">
      <c r="A268" s="5" t="s">
        <v>557</v>
      </c>
      <c r="B268" s="5" t="s">
        <v>54</v>
      </c>
      <c r="C268" s="5" t="s">
        <v>48</v>
      </c>
      <c r="D268" s="5" t="s">
        <v>558</v>
      </c>
      <c r="E268" s="5" t="s">
        <v>193</v>
      </c>
      <c r="F268" s="5" t="s">
        <v>57</v>
      </c>
      <c r="G268" s="5" t="s">
        <v>58</v>
      </c>
      <c r="H268" s="5" t="n">
        <v>0</v>
      </c>
      <c r="I268" s="5" t="n">
        <v>0</v>
      </c>
      <c r="J268" s="5" t="n">
        <v>15</v>
      </c>
      <c r="K268" s="5" t="n">
        <v>9</v>
      </c>
      <c r="L268" s="5" t="n">
        <f aca="false">J268-K268</f>
        <v>6</v>
      </c>
      <c r="M268" s="11" t="n">
        <f aca="false">IF(J268=0,0,K268/J268)</f>
        <v>0.6</v>
      </c>
    </row>
    <row r="269" customFormat="false" ht="15" hidden="false" customHeight="false" outlineLevel="0" collapsed="false">
      <c r="A269" s="5" t="s">
        <v>559</v>
      </c>
      <c r="B269" s="5" t="s">
        <v>54</v>
      </c>
      <c r="C269" s="5" t="s">
        <v>48</v>
      </c>
      <c r="D269" s="5" t="s">
        <v>303</v>
      </c>
      <c r="E269" s="5" t="s">
        <v>560</v>
      </c>
      <c r="F269" s="5" t="s">
        <v>57</v>
      </c>
      <c r="G269" s="5" t="s">
        <v>58</v>
      </c>
      <c r="H269" s="5" t="n">
        <v>0</v>
      </c>
      <c r="I269" s="5" t="n">
        <v>0</v>
      </c>
      <c r="J269" s="5" t="n">
        <v>22</v>
      </c>
      <c r="K269" s="5" t="n">
        <v>17</v>
      </c>
      <c r="L269" s="5" t="n">
        <f aca="false">J269-K269</f>
        <v>5</v>
      </c>
      <c r="M269" s="11" t="n">
        <f aca="false">IF(J269=0,0,K269/J269)</f>
        <v>0.772727272727273</v>
      </c>
    </row>
    <row r="270" customFormat="false" ht="15" hidden="false" customHeight="false" outlineLevel="0" collapsed="false">
      <c r="A270" s="5" t="s">
        <v>561</v>
      </c>
      <c r="B270" s="5" t="s">
        <v>54</v>
      </c>
      <c r="C270" s="5" t="s">
        <v>48</v>
      </c>
      <c r="D270" s="5" t="s">
        <v>562</v>
      </c>
      <c r="E270" s="5" t="s">
        <v>563</v>
      </c>
      <c r="F270" s="5" t="s">
        <v>57</v>
      </c>
      <c r="G270" s="5" t="s">
        <v>58</v>
      </c>
      <c r="H270" s="5" t="n">
        <v>0</v>
      </c>
      <c r="I270" s="5" t="n">
        <v>0</v>
      </c>
      <c r="J270" s="5" t="n">
        <v>17</v>
      </c>
      <c r="K270" s="5" t="n">
        <v>11</v>
      </c>
      <c r="L270" s="5" t="n">
        <f aca="false">J270-K270</f>
        <v>6</v>
      </c>
      <c r="M270" s="11" t="n">
        <f aca="false">IF(J270=0,0,K270/J270)</f>
        <v>0.647058823529412</v>
      </c>
    </row>
    <row r="271" customFormat="false" ht="15" hidden="false" customHeight="false" outlineLevel="0" collapsed="false">
      <c r="A271" s="5" t="s">
        <v>564</v>
      </c>
      <c r="B271" s="5" t="s">
        <v>54</v>
      </c>
      <c r="C271" s="5" t="s">
        <v>48</v>
      </c>
      <c r="D271" s="5" t="s">
        <v>206</v>
      </c>
      <c r="E271" s="5" t="s">
        <v>565</v>
      </c>
      <c r="F271" s="5" t="s">
        <v>57</v>
      </c>
      <c r="G271" s="5" t="s">
        <v>58</v>
      </c>
      <c r="H271" s="5" t="n">
        <v>0</v>
      </c>
      <c r="I271" s="5" t="n">
        <v>0</v>
      </c>
      <c r="J271" s="5" t="n">
        <v>13</v>
      </c>
      <c r="K271" s="5" t="n">
        <v>13</v>
      </c>
      <c r="L271" s="5" t="n">
        <f aca="false">J271-K271</f>
        <v>0</v>
      </c>
      <c r="M271" s="11" t="n">
        <f aca="false">IF(J271=0,0,K271/J271)</f>
        <v>1</v>
      </c>
    </row>
    <row r="272" customFormat="false" ht="15" hidden="false" customHeight="false" outlineLevel="0" collapsed="false">
      <c r="A272" s="5" t="s">
        <v>566</v>
      </c>
      <c r="B272" s="5" t="s">
        <v>54</v>
      </c>
      <c r="C272" s="5" t="s">
        <v>48</v>
      </c>
      <c r="D272" s="5" t="s">
        <v>562</v>
      </c>
      <c r="E272" s="5" t="s">
        <v>567</v>
      </c>
      <c r="F272" s="5" t="s">
        <v>57</v>
      </c>
      <c r="G272" s="5" t="s">
        <v>58</v>
      </c>
      <c r="H272" s="5" t="n">
        <v>0</v>
      </c>
      <c r="I272" s="5" t="n">
        <v>0</v>
      </c>
      <c r="J272" s="5" t="n">
        <v>15</v>
      </c>
      <c r="K272" s="5" t="n">
        <v>12</v>
      </c>
      <c r="L272" s="5" t="n">
        <f aca="false">J272-K272</f>
        <v>3</v>
      </c>
      <c r="M272" s="11" t="n">
        <f aca="false">IF(J272=0,0,K272/J272)</f>
        <v>0.8</v>
      </c>
    </row>
    <row r="273" customFormat="false" ht="15" hidden="false" customHeight="false" outlineLevel="0" collapsed="false">
      <c r="A273" s="5" t="s">
        <v>568</v>
      </c>
      <c r="B273" s="5" t="s">
        <v>539</v>
      </c>
      <c r="C273" s="5" t="s">
        <v>48</v>
      </c>
      <c r="D273" s="5" t="s">
        <v>56</v>
      </c>
      <c r="E273" s="5" t="s">
        <v>205</v>
      </c>
      <c r="F273" s="5" t="s">
        <v>51</v>
      </c>
      <c r="G273" s="5" t="s">
        <v>52</v>
      </c>
      <c r="H273" s="5" t="n">
        <v>6</v>
      </c>
      <c r="I273" s="5" t="n">
        <v>6</v>
      </c>
      <c r="J273" s="5" t="n">
        <v>7</v>
      </c>
      <c r="K273" s="5" t="n">
        <v>7</v>
      </c>
      <c r="L273" s="5" t="n">
        <f aca="false">J273-K273</f>
        <v>0</v>
      </c>
      <c r="M273" s="11" t="n">
        <f aca="false">IF(J273=0,0,K273/J273)</f>
        <v>1</v>
      </c>
    </row>
    <row r="274" customFormat="false" ht="15" hidden="false" customHeight="false" outlineLevel="0" collapsed="false">
      <c r="A274" s="5" t="s">
        <v>569</v>
      </c>
      <c r="B274" s="5" t="s">
        <v>539</v>
      </c>
      <c r="C274" s="5" t="s">
        <v>48</v>
      </c>
      <c r="D274" s="5" t="s">
        <v>56</v>
      </c>
      <c r="E274" s="5" t="s">
        <v>449</v>
      </c>
      <c r="F274" s="5" t="s">
        <v>51</v>
      </c>
      <c r="G274" s="5" t="s">
        <v>52</v>
      </c>
      <c r="H274" s="5" t="n">
        <v>8</v>
      </c>
      <c r="I274" s="5" t="n">
        <v>8</v>
      </c>
      <c r="J274" s="5" t="n">
        <v>7</v>
      </c>
      <c r="K274" s="5" t="n">
        <v>7</v>
      </c>
      <c r="L274" s="5" t="n">
        <f aca="false">J274-K274</f>
        <v>0</v>
      </c>
      <c r="M274" s="11" t="n">
        <f aca="false">IF(J274=0,0,K274/J274)</f>
        <v>1</v>
      </c>
    </row>
    <row r="275" customFormat="false" ht="15" hidden="false" customHeight="false" outlineLevel="0" collapsed="false">
      <c r="A275" s="5" t="s">
        <v>570</v>
      </c>
      <c r="B275" s="5" t="s">
        <v>54</v>
      </c>
      <c r="C275" s="5" t="s">
        <v>48</v>
      </c>
      <c r="D275" s="5" t="s">
        <v>56</v>
      </c>
      <c r="E275" s="5" t="s">
        <v>571</v>
      </c>
      <c r="F275" s="5" t="s">
        <v>57</v>
      </c>
      <c r="G275" s="5" t="s">
        <v>58</v>
      </c>
      <c r="H275" s="5" t="n">
        <v>0</v>
      </c>
      <c r="I275" s="5" t="n">
        <v>0</v>
      </c>
      <c r="J275" s="5" t="n">
        <v>19</v>
      </c>
      <c r="K275" s="5" t="n">
        <v>15</v>
      </c>
      <c r="L275" s="5" t="n">
        <f aca="false">J275-K275</f>
        <v>4</v>
      </c>
      <c r="M275" s="11" t="n">
        <f aca="false">IF(J275=0,0,K275/J275)</f>
        <v>0.789473684210526</v>
      </c>
    </row>
    <row r="276" customFormat="false" ht="15" hidden="false" customHeight="false" outlineLevel="0" collapsed="false">
      <c r="A276" s="5" t="s">
        <v>572</v>
      </c>
      <c r="B276" s="5" t="s">
        <v>54</v>
      </c>
      <c r="C276" s="5" t="s">
        <v>48</v>
      </c>
      <c r="D276" s="5" t="s">
        <v>562</v>
      </c>
      <c r="E276" s="5" t="s">
        <v>85</v>
      </c>
      <c r="F276" s="5" t="s">
        <v>57</v>
      </c>
      <c r="G276" s="5" t="s">
        <v>58</v>
      </c>
      <c r="H276" s="5" t="n">
        <v>0</v>
      </c>
      <c r="I276" s="5" t="n">
        <v>0</v>
      </c>
      <c r="J276" s="5" t="n">
        <v>11</v>
      </c>
      <c r="K276" s="5" t="n">
        <v>10</v>
      </c>
      <c r="L276" s="5" t="n">
        <f aca="false">J276-K276</f>
        <v>1</v>
      </c>
      <c r="M276" s="11" t="n">
        <f aca="false">IF(J276=0,0,K276/J276)</f>
        <v>0.909090909090909</v>
      </c>
    </row>
    <row r="277" customFormat="false" ht="15" hidden="false" customHeight="false" outlineLevel="0" collapsed="false">
      <c r="A277" s="5" t="s">
        <v>573</v>
      </c>
      <c r="B277" s="5" t="s">
        <v>54</v>
      </c>
      <c r="C277" s="5" t="s">
        <v>48</v>
      </c>
      <c r="D277" s="5" t="s">
        <v>574</v>
      </c>
      <c r="E277" s="5" t="s">
        <v>56</v>
      </c>
      <c r="F277" s="5" t="s">
        <v>57</v>
      </c>
      <c r="G277" s="5" t="s">
        <v>58</v>
      </c>
      <c r="H277" s="5" t="n">
        <v>0</v>
      </c>
      <c r="I277" s="5" t="n">
        <v>0</v>
      </c>
      <c r="J277" s="5" t="n">
        <v>21</v>
      </c>
      <c r="K277" s="5" t="n">
        <v>18</v>
      </c>
      <c r="L277" s="5" t="n">
        <f aca="false">J277-K277</f>
        <v>3</v>
      </c>
      <c r="M277" s="11" t="n">
        <f aca="false">IF(J277=0,0,K277/J277)</f>
        <v>0.857142857142857</v>
      </c>
    </row>
    <row r="278" customFormat="false" ht="15" hidden="false" customHeight="false" outlineLevel="0" collapsed="false">
      <c r="A278" s="5" t="s">
        <v>575</v>
      </c>
      <c r="B278" s="5" t="s">
        <v>539</v>
      </c>
      <c r="C278" s="5" t="s">
        <v>48</v>
      </c>
      <c r="D278" s="5" t="s">
        <v>56</v>
      </c>
      <c r="E278" s="5" t="s">
        <v>361</v>
      </c>
      <c r="F278" s="5" t="s">
        <v>51</v>
      </c>
      <c r="G278" s="5" t="s">
        <v>52</v>
      </c>
      <c r="H278" s="5" t="n">
        <v>6</v>
      </c>
      <c r="I278" s="5" t="n">
        <v>6</v>
      </c>
      <c r="J278" s="5" t="n">
        <v>7</v>
      </c>
      <c r="K278" s="5" t="n">
        <v>7</v>
      </c>
      <c r="L278" s="5" t="n">
        <f aca="false">J278-K278</f>
        <v>0</v>
      </c>
      <c r="M278" s="11" t="n">
        <f aca="false">IF(J278=0,0,K278/J278)</f>
        <v>1</v>
      </c>
    </row>
    <row r="279" customFormat="false" ht="15" hidden="false" customHeight="false" outlineLevel="0" collapsed="false">
      <c r="A279" s="5" t="s">
        <v>576</v>
      </c>
      <c r="B279" s="5" t="s">
        <v>54</v>
      </c>
      <c r="C279" s="5" t="s">
        <v>48</v>
      </c>
      <c r="D279" s="5" t="s">
        <v>577</v>
      </c>
      <c r="E279" s="5" t="s">
        <v>452</v>
      </c>
      <c r="F279" s="5" t="s">
        <v>57</v>
      </c>
      <c r="G279" s="5" t="s">
        <v>58</v>
      </c>
      <c r="H279" s="5" t="n">
        <v>0</v>
      </c>
      <c r="I279" s="5" t="n">
        <v>0</v>
      </c>
      <c r="J279" s="5" t="n">
        <v>38</v>
      </c>
      <c r="K279" s="5" t="n">
        <v>34</v>
      </c>
      <c r="L279" s="5" t="n">
        <f aca="false">J279-K279</f>
        <v>4</v>
      </c>
      <c r="M279" s="11" t="n">
        <f aca="false">IF(J279=0,0,K279/J279)</f>
        <v>0.894736842105263</v>
      </c>
    </row>
    <row r="280" customFormat="false" ht="15" hidden="false" customHeight="false" outlineLevel="0" collapsed="false">
      <c r="A280" s="5" t="s">
        <v>578</v>
      </c>
      <c r="B280" s="5" t="s">
        <v>54</v>
      </c>
      <c r="C280" s="5" t="s">
        <v>48</v>
      </c>
      <c r="D280" s="5" t="s">
        <v>173</v>
      </c>
      <c r="E280" s="5" t="s">
        <v>85</v>
      </c>
      <c r="F280" s="5" t="s">
        <v>57</v>
      </c>
      <c r="G280" s="5" t="s">
        <v>58</v>
      </c>
      <c r="H280" s="5" t="n">
        <v>0</v>
      </c>
      <c r="I280" s="5" t="n">
        <v>0</v>
      </c>
      <c r="J280" s="5" t="n">
        <v>19</v>
      </c>
      <c r="K280" s="5" t="n">
        <v>9</v>
      </c>
      <c r="L280" s="5" t="n">
        <f aca="false">J280-K280</f>
        <v>10</v>
      </c>
      <c r="M280" s="11" t="n">
        <f aca="false">IF(J280=0,0,K280/J280)</f>
        <v>0.473684210526316</v>
      </c>
    </row>
    <row r="281" customFormat="false" ht="15" hidden="false" customHeight="false" outlineLevel="0" collapsed="false">
      <c r="A281" s="5" t="s">
        <v>579</v>
      </c>
      <c r="B281" s="5" t="s">
        <v>539</v>
      </c>
      <c r="C281" s="5" t="s">
        <v>48</v>
      </c>
      <c r="D281" s="5" t="s">
        <v>56</v>
      </c>
      <c r="E281" s="5" t="s">
        <v>483</v>
      </c>
      <c r="F281" s="5" t="s">
        <v>51</v>
      </c>
      <c r="G281" s="5" t="s">
        <v>52</v>
      </c>
      <c r="H281" s="5" t="n">
        <v>7</v>
      </c>
      <c r="I281" s="5" t="n">
        <v>7</v>
      </c>
      <c r="J281" s="5" t="n">
        <v>7</v>
      </c>
      <c r="K281" s="5" t="n">
        <v>7</v>
      </c>
      <c r="L281" s="5" t="n">
        <f aca="false">J281-K281</f>
        <v>0</v>
      </c>
      <c r="M281" s="11" t="n">
        <f aca="false">IF(J281=0,0,K281/J281)</f>
        <v>1</v>
      </c>
    </row>
    <row r="282" customFormat="false" ht="15" hidden="false" customHeight="false" outlineLevel="0" collapsed="false">
      <c r="A282" s="5" t="s">
        <v>580</v>
      </c>
      <c r="B282" s="5" t="s">
        <v>54</v>
      </c>
      <c r="C282" s="5" t="s">
        <v>48</v>
      </c>
      <c r="D282" s="5" t="s">
        <v>56</v>
      </c>
      <c r="E282" s="5" t="s">
        <v>581</v>
      </c>
      <c r="F282" s="5" t="s">
        <v>57</v>
      </c>
      <c r="G282" s="5" t="s">
        <v>58</v>
      </c>
      <c r="H282" s="5" t="n">
        <v>0</v>
      </c>
      <c r="I282" s="5" t="n">
        <v>0</v>
      </c>
      <c r="J282" s="5" t="n">
        <v>16</v>
      </c>
      <c r="K282" s="5" t="n">
        <v>11</v>
      </c>
      <c r="L282" s="5" t="n">
        <f aca="false">J282-K282</f>
        <v>5</v>
      </c>
      <c r="M282" s="11" t="n">
        <f aca="false">IF(J282=0,0,K282/J282)</f>
        <v>0.6875</v>
      </c>
    </row>
    <row r="283" customFormat="false" ht="15" hidden="false" customHeight="false" outlineLevel="0" collapsed="false">
      <c r="A283" s="5" t="s">
        <v>582</v>
      </c>
      <c r="B283" s="5" t="s">
        <v>539</v>
      </c>
      <c r="C283" s="5" t="s">
        <v>48</v>
      </c>
      <c r="D283" s="5" t="s">
        <v>462</v>
      </c>
      <c r="E283" s="5" t="s">
        <v>193</v>
      </c>
      <c r="F283" s="5" t="s">
        <v>51</v>
      </c>
      <c r="G283" s="5" t="s">
        <v>52</v>
      </c>
      <c r="H283" s="5" t="n">
        <v>6</v>
      </c>
      <c r="I283" s="5" t="n">
        <v>6</v>
      </c>
      <c r="J283" s="5" t="n">
        <v>7</v>
      </c>
      <c r="K283" s="5" t="n">
        <v>7</v>
      </c>
      <c r="L283" s="5" t="n">
        <f aca="false">J283-K283</f>
        <v>0</v>
      </c>
      <c r="M283" s="11" t="n">
        <f aca="false">IF(J283=0,0,K283/J283)</f>
        <v>1</v>
      </c>
    </row>
    <row r="284" customFormat="false" ht="15" hidden="false" customHeight="false" outlineLevel="0" collapsed="false">
      <c r="A284" s="5" t="s">
        <v>583</v>
      </c>
      <c r="B284" s="5" t="s">
        <v>54</v>
      </c>
      <c r="C284" s="5" t="s">
        <v>48</v>
      </c>
      <c r="D284" s="5" t="s">
        <v>584</v>
      </c>
      <c r="E284" s="5" t="s">
        <v>571</v>
      </c>
      <c r="F284" s="5" t="s">
        <v>57</v>
      </c>
      <c r="G284" s="5" t="s">
        <v>58</v>
      </c>
      <c r="H284" s="5" t="n">
        <v>0</v>
      </c>
      <c r="I284" s="5" t="n">
        <v>0</v>
      </c>
      <c r="J284" s="5" t="n">
        <v>43</v>
      </c>
      <c r="K284" s="5" t="n">
        <v>37</v>
      </c>
      <c r="L284" s="5" t="n">
        <f aca="false">J284-K284</f>
        <v>6</v>
      </c>
      <c r="M284" s="11" t="n">
        <f aca="false">IF(J284=0,0,K284/J284)</f>
        <v>0.86046511627907</v>
      </c>
    </row>
    <row r="285" customFormat="false" ht="15" hidden="false" customHeight="false" outlineLevel="0" collapsed="false">
      <c r="A285" s="5" t="s">
        <v>585</v>
      </c>
      <c r="B285" s="5" t="s">
        <v>54</v>
      </c>
      <c r="C285" s="5" t="s">
        <v>48</v>
      </c>
      <c r="D285" s="5" t="s">
        <v>64</v>
      </c>
      <c r="E285" s="5" t="s">
        <v>586</v>
      </c>
      <c r="F285" s="5" t="s">
        <v>57</v>
      </c>
      <c r="G285" s="5" t="s">
        <v>58</v>
      </c>
      <c r="H285" s="5" t="n">
        <v>0</v>
      </c>
      <c r="I285" s="5" t="n">
        <v>0</v>
      </c>
      <c r="J285" s="5" t="n">
        <v>10</v>
      </c>
      <c r="K285" s="5" t="n">
        <v>9</v>
      </c>
      <c r="L285" s="5" t="n">
        <f aca="false">J285-K285</f>
        <v>1</v>
      </c>
      <c r="M285" s="11" t="n">
        <f aca="false">IF(J285=0,0,K285/J285)</f>
        <v>0.9</v>
      </c>
    </row>
    <row r="286" customFormat="false" ht="15" hidden="false" customHeight="false" outlineLevel="0" collapsed="false">
      <c r="A286" s="5" t="s">
        <v>587</v>
      </c>
      <c r="B286" s="5" t="s">
        <v>54</v>
      </c>
      <c r="C286" s="5" t="s">
        <v>48</v>
      </c>
      <c r="D286" s="5" t="s">
        <v>309</v>
      </c>
      <c r="E286" s="5" t="s">
        <v>588</v>
      </c>
      <c r="F286" s="5" t="s">
        <v>57</v>
      </c>
      <c r="G286" s="5" t="s">
        <v>58</v>
      </c>
      <c r="H286" s="5" t="n">
        <v>0</v>
      </c>
      <c r="I286" s="5" t="n">
        <v>0</v>
      </c>
      <c r="J286" s="5" t="n">
        <v>14</v>
      </c>
      <c r="K286" s="5" t="n">
        <v>11</v>
      </c>
      <c r="L286" s="5" t="n">
        <f aca="false">J286-K286</f>
        <v>3</v>
      </c>
      <c r="M286" s="11" t="n">
        <f aca="false">IF(J286=0,0,K286/J286)</f>
        <v>0.785714285714286</v>
      </c>
    </row>
    <row r="287" customFormat="false" ht="15" hidden="false" customHeight="false" outlineLevel="0" collapsed="false">
      <c r="A287" s="5" t="s">
        <v>589</v>
      </c>
      <c r="B287" s="5" t="s">
        <v>54</v>
      </c>
      <c r="C287" s="5" t="s">
        <v>48</v>
      </c>
      <c r="D287" s="5" t="s">
        <v>193</v>
      </c>
      <c r="E287" s="5" t="s">
        <v>303</v>
      </c>
      <c r="F287" s="5" t="s">
        <v>57</v>
      </c>
      <c r="G287" s="5" t="s">
        <v>58</v>
      </c>
      <c r="H287" s="5" t="n">
        <v>0</v>
      </c>
      <c r="I287" s="5" t="n">
        <v>0</v>
      </c>
      <c r="J287" s="5" t="n">
        <v>18</v>
      </c>
      <c r="K287" s="5" t="n">
        <v>15</v>
      </c>
      <c r="L287" s="5" t="n">
        <f aca="false">J287-K287</f>
        <v>3</v>
      </c>
      <c r="M287" s="11" t="n">
        <f aca="false">IF(J287=0,0,K287/J287)</f>
        <v>0.833333333333333</v>
      </c>
    </row>
    <row r="288" customFormat="false" ht="15" hidden="false" customHeight="false" outlineLevel="0" collapsed="false">
      <c r="A288" s="5" t="s">
        <v>590</v>
      </c>
      <c r="B288" s="5" t="s">
        <v>54</v>
      </c>
      <c r="C288" s="5" t="s">
        <v>48</v>
      </c>
      <c r="D288" s="5" t="s">
        <v>361</v>
      </c>
      <c r="E288" s="5" t="s">
        <v>362</v>
      </c>
      <c r="F288" s="5" t="s">
        <v>57</v>
      </c>
      <c r="G288" s="5" t="s">
        <v>58</v>
      </c>
      <c r="H288" s="5" t="n">
        <v>0</v>
      </c>
      <c r="I288" s="5" t="n">
        <v>0</v>
      </c>
      <c r="J288" s="5" t="n">
        <v>16</v>
      </c>
      <c r="K288" s="5" t="n">
        <v>10</v>
      </c>
      <c r="L288" s="5" t="n">
        <f aca="false">J288-K288</f>
        <v>6</v>
      </c>
      <c r="M288" s="11" t="n">
        <f aca="false">IF(J288=0,0,K288/J288)</f>
        <v>0.625</v>
      </c>
    </row>
    <row r="289" customFormat="false" ht="15" hidden="false" customHeight="false" outlineLevel="0" collapsed="false">
      <c r="A289" s="5" t="s">
        <v>591</v>
      </c>
      <c r="B289" s="5" t="s">
        <v>54</v>
      </c>
      <c r="C289" s="5" t="s">
        <v>48</v>
      </c>
      <c r="D289" s="5" t="s">
        <v>64</v>
      </c>
      <c r="E289" s="5" t="s">
        <v>354</v>
      </c>
      <c r="F289" s="5" t="s">
        <v>57</v>
      </c>
      <c r="G289" s="5" t="s">
        <v>58</v>
      </c>
      <c r="H289" s="5" t="n">
        <v>0</v>
      </c>
      <c r="I289" s="5" t="n">
        <v>0</v>
      </c>
      <c r="J289" s="5" t="n">
        <v>7</v>
      </c>
      <c r="K289" s="5" t="n">
        <v>7</v>
      </c>
      <c r="L289" s="5" t="n">
        <f aca="false">J289-K289</f>
        <v>0</v>
      </c>
      <c r="M289" s="11" t="n">
        <f aca="false">IF(J289=0,0,K289/J289)</f>
        <v>1</v>
      </c>
    </row>
    <row r="290" customFormat="false" ht="15" hidden="false" customHeight="false" outlineLevel="0" collapsed="false">
      <c r="A290" s="5" t="s">
        <v>592</v>
      </c>
      <c r="B290" s="5" t="s">
        <v>54</v>
      </c>
      <c r="C290" s="5" t="s">
        <v>48</v>
      </c>
      <c r="D290" s="5" t="s">
        <v>593</v>
      </c>
      <c r="E290" s="5" t="s">
        <v>355</v>
      </c>
      <c r="F290" s="5" t="s">
        <v>57</v>
      </c>
      <c r="G290" s="5" t="s">
        <v>58</v>
      </c>
      <c r="H290" s="5" t="n">
        <v>0</v>
      </c>
      <c r="I290" s="5" t="n">
        <v>0</v>
      </c>
      <c r="J290" s="5" t="n">
        <v>17</v>
      </c>
      <c r="K290" s="5" t="n">
        <v>10</v>
      </c>
      <c r="L290" s="5" t="n">
        <f aca="false">J290-K290</f>
        <v>7</v>
      </c>
      <c r="M290" s="11" t="n">
        <f aca="false">IF(J290=0,0,K290/J290)</f>
        <v>0.588235294117647</v>
      </c>
    </row>
    <row r="291" customFormat="false" ht="15" hidden="false" customHeight="false" outlineLevel="0" collapsed="false">
      <c r="A291" s="5" t="s">
        <v>594</v>
      </c>
      <c r="B291" s="5" t="s">
        <v>54</v>
      </c>
      <c r="C291" s="5" t="s">
        <v>48</v>
      </c>
      <c r="D291" s="5" t="s">
        <v>64</v>
      </c>
      <c r="E291" s="5" t="s">
        <v>595</v>
      </c>
      <c r="F291" s="5" t="s">
        <v>57</v>
      </c>
      <c r="G291" s="5" t="s">
        <v>58</v>
      </c>
      <c r="H291" s="5" t="n">
        <v>0</v>
      </c>
      <c r="I291" s="5" t="n">
        <v>0</v>
      </c>
      <c r="J291" s="5" t="n">
        <v>13</v>
      </c>
      <c r="K291" s="5" t="n">
        <v>11</v>
      </c>
      <c r="L291" s="5" t="n">
        <f aca="false">J291-K291</f>
        <v>2</v>
      </c>
      <c r="M291" s="11" t="n">
        <f aca="false">IF(J291=0,0,K291/J291)</f>
        <v>0.846153846153846</v>
      </c>
    </row>
    <row r="292" customFormat="false" ht="15" hidden="false" customHeight="false" outlineLevel="0" collapsed="false">
      <c r="A292" s="5" t="s">
        <v>596</v>
      </c>
      <c r="B292" s="5" t="s">
        <v>54</v>
      </c>
      <c r="C292" s="5" t="s">
        <v>48</v>
      </c>
      <c r="D292" s="5" t="s">
        <v>352</v>
      </c>
      <c r="E292" s="5" t="s">
        <v>597</v>
      </c>
      <c r="F292" s="5" t="s">
        <v>57</v>
      </c>
      <c r="G292" s="5" t="s">
        <v>58</v>
      </c>
      <c r="H292" s="5" t="n">
        <v>0</v>
      </c>
      <c r="I292" s="5" t="n">
        <v>0</v>
      </c>
      <c r="J292" s="5" t="n">
        <v>15</v>
      </c>
      <c r="K292" s="5" t="n">
        <v>15</v>
      </c>
      <c r="L292" s="5" t="n">
        <f aca="false">J292-K292</f>
        <v>0</v>
      </c>
      <c r="M292" s="11" t="n">
        <f aca="false">IF(J292=0,0,K292/J292)</f>
        <v>1</v>
      </c>
    </row>
    <row r="293" customFormat="false" ht="15" hidden="false" customHeight="false" outlineLevel="0" collapsed="false">
      <c r="A293" s="5" t="s">
        <v>598</v>
      </c>
      <c r="B293" s="5" t="s">
        <v>54</v>
      </c>
      <c r="C293" s="5" t="s">
        <v>48</v>
      </c>
      <c r="D293" s="5" t="s">
        <v>64</v>
      </c>
      <c r="E293" s="5" t="s">
        <v>599</v>
      </c>
      <c r="F293" s="5" t="s">
        <v>57</v>
      </c>
      <c r="G293" s="5" t="s">
        <v>58</v>
      </c>
      <c r="H293" s="5" t="n">
        <v>0</v>
      </c>
      <c r="I293" s="5" t="n">
        <v>0</v>
      </c>
      <c r="J293" s="5" t="n">
        <v>13</v>
      </c>
      <c r="K293" s="5" t="n">
        <v>11</v>
      </c>
      <c r="L293" s="5" t="n">
        <f aca="false">J293-K293</f>
        <v>2</v>
      </c>
      <c r="M293" s="11" t="n">
        <f aca="false">IF(J293=0,0,K293/J293)</f>
        <v>0.846153846153846</v>
      </c>
    </row>
    <row r="294" customFormat="false" ht="15" hidden="false" customHeight="false" outlineLevel="0" collapsed="false">
      <c r="A294" s="5" t="s">
        <v>600</v>
      </c>
      <c r="B294" s="5" t="s">
        <v>54</v>
      </c>
      <c r="C294" s="5" t="s">
        <v>48</v>
      </c>
      <c r="D294" s="5" t="s">
        <v>64</v>
      </c>
      <c r="E294" s="5" t="s">
        <v>601</v>
      </c>
      <c r="F294" s="5" t="s">
        <v>57</v>
      </c>
      <c r="G294" s="5" t="s">
        <v>58</v>
      </c>
      <c r="H294" s="5" t="n">
        <v>0</v>
      </c>
      <c r="I294" s="5" t="n">
        <v>0</v>
      </c>
      <c r="J294" s="5" t="n">
        <v>14</v>
      </c>
      <c r="K294" s="5" t="n">
        <v>14</v>
      </c>
      <c r="L294" s="5" t="n">
        <f aca="false">J294-K294</f>
        <v>0</v>
      </c>
      <c r="M294" s="11" t="n">
        <f aca="false">IF(J294=0,0,K294/J294)</f>
        <v>1</v>
      </c>
    </row>
    <row r="295" customFormat="false" ht="15" hidden="false" customHeight="false" outlineLevel="0" collapsed="false">
      <c r="A295" s="5" t="s">
        <v>602</v>
      </c>
      <c r="B295" s="5" t="s">
        <v>54</v>
      </c>
      <c r="C295" s="5" t="s">
        <v>48</v>
      </c>
      <c r="D295" s="5" t="s">
        <v>193</v>
      </c>
      <c r="E295" s="5" t="s">
        <v>603</v>
      </c>
      <c r="F295" s="5" t="s">
        <v>57</v>
      </c>
      <c r="G295" s="5" t="s">
        <v>58</v>
      </c>
      <c r="H295" s="5" t="n">
        <v>0</v>
      </c>
      <c r="I295" s="5" t="n">
        <v>0</v>
      </c>
      <c r="J295" s="5" t="n">
        <v>13</v>
      </c>
      <c r="K295" s="5" t="n">
        <v>8</v>
      </c>
      <c r="L295" s="5" t="n">
        <f aca="false">J295-K295</f>
        <v>5</v>
      </c>
      <c r="M295" s="11" t="n">
        <f aca="false">IF(J295=0,0,K295/J295)</f>
        <v>0.615384615384615</v>
      </c>
    </row>
    <row r="296" customFormat="false" ht="15" hidden="false" customHeight="false" outlineLevel="0" collapsed="false">
      <c r="A296" s="5" t="s">
        <v>604</v>
      </c>
      <c r="B296" s="5" t="s">
        <v>54</v>
      </c>
      <c r="C296" s="5" t="s">
        <v>48</v>
      </c>
      <c r="D296" s="5" t="s">
        <v>193</v>
      </c>
      <c r="E296" s="5" t="s">
        <v>605</v>
      </c>
      <c r="F296" s="5" t="s">
        <v>57</v>
      </c>
      <c r="G296" s="5" t="s">
        <v>58</v>
      </c>
      <c r="H296" s="5" t="n">
        <v>0</v>
      </c>
      <c r="I296" s="5" t="n">
        <v>0</v>
      </c>
      <c r="J296" s="5" t="n">
        <v>11</v>
      </c>
      <c r="K296" s="5" t="n">
        <v>10</v>
      </c>
      <c r="L296" s="5" t="n">
        <f aca="false">J296-K296</f>
        <v>1</v>
      </c>
      <c r="M296" s="11" t="n">
        <f aca="false">IF(J296=0,0,K296/J296)</f>
        <v>0.909090909090909</v>
      </c>
    </row>
    <row r="297" customFormat="false" ht="15" hidden="false" customHeight="false" outlineLevel="0" collapsed="false">
      <c r="A297" s="5" t="s">
        <v>606</v>
      </c>
      <c r="B297" s="5" t="s">
        <v>54</v>
      </c>
      <c r="C297" s="5" t="s">
        <v>48</v>
      </c>
      <c r="D297" s="5" t="s">
        <v>193</v>
      </c>
      <c r="E297" s="5" t="s">
        <v>586</v>
      </c>
      <c r="F297" s="5" t="s">
        <v>57</v>
      </c>
      <c r="G297" s="5" t="s">
        <v>58</v>
      </c>
      <c r="H297" s="5" t="n">
        <v>0</v>
      </c>
      <c r="I297" s="5" t="n">
        <v>0</v>
      </c>
      <c r="J297" s="5" t="n">
        <v>12</v>
      </c>
      <c r="K297" s="5" t="n">
        <v>8</v>
      </c>
      <c r="L297" s="5" t="n">
        <f aca="false">J297-K297</f>
        <v>4</v>
      </c>
      <c r="M297" s="11" t="n">
        <f aca="false">IF(J297=0,0,K297/J297)</f>
        <v>0.666666666666667</v>
      </c>
    </row>
    <row r="298" customFormat="false" ht="15" hidden="false" customHeight="false" outlineLevel="0" collapsed="false">
      <c r="A298" s="5" t="s">
        <v>607</v>
      </c>
      <c r="B298" s="5" t="s">
        <v>54</v>
      </c>
      <c r="C298" s="5" t="s">
        <v>48</v>
      </c>
      <c r="D298" s="5" t="s">
        <v>193</v>
      </c>
      <c r="E298" s="5" t="s">
        <v>597</v>
      </c>
      <c r="F298" s="5" t="s">
        <v>57</v>
      </c>
      <c r="G298" s="5" t="s">
        <v>58</v>
      </c>
      <c r="H298" s="5" t="n">
        <v>0</v>
      </c>
      <c r="I298" s="5" t="n">
        <v>0</v>
      </c>
      <c r="J298" s="5" t="n">
        <v>12</v>
      </c>
      <c r="K298" s="5" t="n">
        <v>12</v>
      </c>
      <c r="L298" s="5" t="n">
        <f aca="false">J298-K298</f>
        <v>0</v>
      </c>
      <c r="M298" s="11" t="n">
        <f aca="false">IF(J298=0,0,K298/J298)</f>
        <v>1</v>
      </c>
    </row>
    <row r="299" customFormat="false" ht="15" hidden="false" customHeight="false" outlineLevel="0" collapsed="false">
      <c r="A299" s="5" t="s">
        <v>608</v>
      </c>
      <c r="B299" s="5" t="s">
        <v>60</v>
      </c>
      <c r="C299" s="5" t="s">
        <v>48</v>
      </c>
      <c r="D299" s="5" t="s">
        <v>609</v>
      </c>
      <c r="E299" s="5" t="s">
        <v>206</v>
      </c>
      <c r="F299" s="5" t="s">
        <v>57</v>
      </c>
      <c r="G299" s="5" t="s">
        <v>58</v>
      </c>
      <c r="H299" s="5" t="n">
        <v>0</v>
      </c>
      <c r="I299" s="5" t="n">
        <v>0</v>
      </c>
      <c r="J299" s="5" t="n">
        <v>22</v>
      </c>
      <c r="K299" s="5" t="n">
        <v>22</v>
      </c>
      <c r="L299" s="5" t="n">
        <f aca="false">J299-K299</f>
        <v>0</v>
      </c>
      <c r="M299" s="11" t="n">
        <f aca="false">IF(J299=0,0,K299/J299)</f>
        <v>1</v>
      </c>
    </row>
    <row r="300" customFormat="false" ht="15" hidden="false" customHeight="false" outlineLevel="0" collapsed="false">
      <c r="A300" s="5" t="s">
        <v>610</v>
      </c>
      <c r="B300" s="5" t="s">
        <v>104</v>
      </c>
      <c r="C300" s="5" t="s">
        <v>48</v>
      </c>
      <c r="D300" s="5" t="s">
        <v>537</v>
      </c>
      <c r="E300" s="5" t="s">
        <v>509</v>
      </c>
      <c r="F300" s="5" t="s">
        <v>57</v>
      </c>
      <c r="G300" s="5" t="s">
        <v>58</v>
      </c>
      <c r="H300" s="5" t="n">
        <v>0</v>
      </c>
      <c r="I300" s="5" t="n">
        <v>0</v>
      </c>
      <c r="J300" s="5" t="n">
        <v>3</v>
      </c>
      <c r="K300" s="5" t="n">
        <v>3</v>
      </c>
      <c r="L300" s="5" t="n">
        <f aca="false">J300-K300</f>
        <v>0</v>
      </c>
      <c r="M300" s="11" t="n">
        <f aca="false">IF(J300=0,0,K300/J300)</f>
        <v>1</v>
      </c>
    </row>
    <row r="301" customFormat="false" ht="15" hidden="false" customHeight="false" outlineLevel="0" collapsed="false">
      <c r="A301" s="5" t="s">
        <v>611</v>
      </c>
      <c r="B301" s="5" t="s">
        <v>60</v>
      </c>
      <c r="C301" s="5" t="s">
        <v>48</v>
      </c>
      <c r="D301" s="5" t="s">
        <v>612</v>
      </c>
      <c r="E301" s="5" t="s">
        <v>87</v>
      </c>
      <c r="F301" s="5" t="s">
        <v>57</v>
      </c>
      <c r="G301" s="5" t="s">
        <v>58</v>
      </c>
      <c r="H301" s="5" t="n">
        <v>0</v>
      </c>
      <c r="I301" s="5" t="n">
        <v>0</v>
      </c>
      <c r="J301" s="5" t="n">
        <v>30</v>
      </c>
      <c r="K301" s="5" t="n">
        <v>23</v>
      </c>
      <c r="L301" s="5" t="n">
        <f aca="false">J301-K301</f>
        <v>7</v>
      </c>
      <c r="M301" s="11" t="n">
        <f aca="false">IF(J301=0,0,K301/J301)</f>
        <v>0.766666666666667</v>
      </c>
    </row>
    <row r="302" customFormat="false" ht="15" hidden="false" customHeight="false" outlineLevel="0" collapsed="false">
      <c r="A302" s="5" t="s">
        <v>613</v>
      </c>
      <c r="B302" s="5" t="s">
        <v>60</v>
      </c>
      <c r="C302" s="5" t="s">
        <v>48</v>
      </c>
      <c r="D302" s="5" t="s">
        <v>612</v>
      </c>
      <c r="E302" s="5" t="s">
        <v>614</v>
      </c>
      <c r="F302" s="5" t="s">
        <v>57</v>
      </c>
      <c r="G302" s="5" t="s">
        <v>58</v>
      </c>
      <c r="H302" s="5" t="n">
        <v>0</v>
      </c>
      <c r="I302" s="5" t="n">
        <v>0</v>
      </c>
      <c r="J302" s="5" t="n">
        <v>21</v>
      </c>
      <c r="K302" s="5" t="n">
        <v>21</v>
      </c>
      <c r="L302" s="5" t="n">
        <f aca="false">J302-K302</f>
        <v>0</v>
      </c>
      <c r="M302" s="11" t="n">
        <f aca="false">IF(J302=0,0,K302/J302)</f>
        <v>1</v>
      </c>
    </row>
    <row r="303" customFormat="false" ht="15" hidden="false" customHeight="false" outlineLevel="0" collapsed="false">
      <c r="A303" s="5" t="s">
        <v>615</v>
      </c>
      <c r="B303" s="5" t="s">
        <v>616</v>
      </c>
      <c r="C303" s="5" t="s">
        <v>48</v>
      </c>
      <c r="D303" s="5" t="s">
        <v>64</v>
      </c>
      <c r="E303" s="5" t="s">
        <v>617</v>
      </c>
      <c r="F303" s="5" t="s">
        <v>51</v>
      </c>
      <c r="G303" s="5" t="s">
        <v>52</v>
      </c>
      <c r="H303" s="5" t="n">
        <v>6</v>
      </c>
      <c r="I303" s="5" t="n">
        <v>6</v>
      </c>
      <c r="J303" s="5" t="n">
        <v>6</v>
      </c>
      <c r="K303" s="5" t="n">
        <v>6</v>
      </c>
      <c r="L303" s="5" t="n">
        <f aca="false">J303-K303</f>
        <v>0</v>
      </c>
      <c r="M303" s="11" t="n">
        <f aca="false">IF(J303=0,0,K303/J303)</f>
        <v>1</v>
      </c>
    </row>
    <row r="304" customFormat="false" ht="15" hidden="false" customHeight="false" outlineLevel="0" collapsed="false">
      <c r="A304" s="5" t="s">
        <v>618</v>
      </c>
      <c r="B304" s="5" t="s">
        <v>104</v>
      </c>
      <c r="C304" s="5" t="s">
        <v>48</v>
      </c>
      <c r="D304" s="5" t="s">
        <v>537</v>
      </c>
      <c r="E304" s="5" t="s">
        <v>106</v>
      </c>
      <c r="F304" s="5" t="s">
        <v>57</v>
      </c>
      <c r="G304" s="5" t="s">
        <v>58</v>
      </c>
      <c r="H304" s="5" t="n">
        <v>0</v>
      </c>
      <c r="I304" s="5" t="n">
        <v>0</v>
      </c>
      <c r="J304" s="5" t="n">
        <v>5</v>
      </c>
      <c r="K304" s="5" t="n">
        <v>5</v>
      </c>
      <c r="L304" s="5" t="n">
        <f aca="false">J304-K304</f>
        <v>0</v>
      </c>
      <c r="M304" s="11" t="n">
        <f aca="false">IF(J304=0,0,K304/J304)</f>
        <v>1</v>
      </c>
    </row>
    <row r="305" customFormat="false" ht="15" hidden="false" customHeight="false" outlineLevel="0" collapsed="false">
      <c r="A305" s="5" t="s">
        <v>619</v>
      </c>
      <c r="B305" s="5" t="s">
        <v>60</v>
      </c>
      <c r="C305" s="5" t="s">
        <v>48</v>
      </c>
      <c r="D305" s="5" t="s">
        <v>193</v>
      </c>
      <c r="E305" s="5" t="s">
        <v>362</v>
      </c>
      <c r="F305" s="5" t="s">
        <v>57</v>
      </c>
      <c r="G305" s="5" t="s">
        <v>58</v>
      </c>
      <c r="H305" s="5" t="n">
        <v>0</v>
      </c>
      <c r="I305" s="5" t="n">
        <v>0</v>
      </c>
      <c r="J305" s="5" t="n">
        <v>27</v>
      </c>
      <c r="K305" s="5" t="n">
        <v>14</v>
      </c>
      <c r="L305" s="5" t="n">
        <f aca="false">J305-K305</f>
        <v>13</v>
      </c>
      <c r="M305" s="11" t="n">
        <f aca="false">IF(J305=0,0,K305/J305)</f>
        <v>0.518518518518519</v>
      </c>
    </row>
    <row r="306" customFormat="false" ht="15" hidden="false" customHeight="false" outlineLevel="0" collapsed="false">
      <c r="A306" s="5" t="s">
        <v>620</v>
      </c>
      <c r="B306" s="5" t="s">
        <v>60</v>
      </c>
      <c r="C306" s="5" t="s">
        <v>48</v>
      </c>
      <c r="D306" s="5" t="s">
        <v>193</v>
      </c>
      <c r="E306" s="5" t="s">
        <v>164</v>
      </c>
      <c r="F306" s="5" t="s">
        <v>57</v>
      </c>
      <c r="G306" s="5" t="s">
        <v>58</v>
      </c>
      <c r="H306" s="5" t="n">
        <v>0</v>
      </c>
      <c r="I306" s="5" t="n">
        <v>0</v>
      </c>
      <c r="J306" s="5" t="n">
        <v>23</v>
      </c>
      <c r="K306" s="5" t="n">
        <v>20</v>
      </c>
      <c r="L306" s="5" t="n">
        <f aca="false">J306-K306</f>
        <v>3</v>
      </c>
      <c r="M306" s="11" t="n">
        <f aca="false">IF(J306=0,0,K306/J306)</f>
        <v>0.869565217391304</v>
      </c>
    </row>
    <row r="307" customFormat="false" ht="15" hidden="false" customHeight="false" outlineLevel="0" collapsed="false">
      <c r="A307" s="5" t="s">
        <v>621</v>
      </c>
      <c r="B307" s="5" t="s">
        <v>60</v>
      </c>
      <c r="C307" s="5" t="s">
        <v>48</v>
      </c>
      <c r="D307" s="5" t="s">
        <v>193</v>
      </c>
      <c r="E307" s="5" t="s">
        <v>400</v>
      </c>
      <c r="F307" s="5" t="s">
        <v>57</v>
      </c>
      <c r="G307" s="5" t="s">
        <v>58</v>
      </c>
      <c r="H307" s="5" t="n">
        <v>0</v>
      </c>
      <c r="I307" s="5" t="n">
        <v>0</v>
      </c>
      <c r="J307" s="5" t="n">
        <v>12</v>
      </c>
      <c r="K307" s="5" t="n">
        <v>9</v>
      </c>
      <c r="L307" s="5" t="n">
        <f aca="false">J307-K307</f>
        <v>3</v>
      </c>
      <c r="M307" s="11" t="n">
        <f aca="false">IF(J307=0,0,K307/J307)</f>
        <v>0.75</v>
      </c>
    </row>
    <row r="308" customFormat="false" ht="15" hidden="false" customHeight="false" outlineLevel="0" collapsed="false">
      <c r="A308" s="5" t="s">
        <v>622</v>
      </c>
      <c r="B308" s="5" t="s">
        <v>60</v>
      </c>
      <c r="C308" s="5" t="s">
        <v>48</v>
      </c>
      <c r="D308" s="5" t="s">
        <v>623</v>
      </c>
      <c r="E308" s="5" t="s">
        <v>354</v>
      </c>
      <c r="F308" s="5" t="s">
        <v>57</v>
      </c>
      <c r="G308" s="5" t="s">
        <v>58</v>
      </c>
      <c r="H308" s="5" t="n">
        <v>0</v>
      </c>
      <c r="I308" s="5" t="n">
        <v>0</v>
      </c>
      <c r="J308" s="5" t="n">
        <v>33</v>
      </c>
      <c r="K308" s="5" t="n">
        <v>11</v>
      </c>
      <c r="L308" s="5" t="n">
        <f aca="false">J308-K308</f>
        <v>22</v>
      </c>
      <c r="M308" s="11" t="n">
        <f aca="false">IF(J308=0,0,K308/J308)</f>
        <v>0.333333333333333</v>
      </c>
    </row>
    <row r="309" customFormat="false" ht="15" hidden="false" customHeight="false" outlineLevel="0" collapsed="false">
      <c r="A309" s="5" t="s">
        <v>624</v>
      </c>
      <c r="B309" s="5" t="s">
        <v>60</v>
      </c>
      <c r="C309" s="5" t="s">
        <v>48</v>
      </c>
      <c r="D309" s="5" t="s">
        <v>625</v>
      </c>
      <c r="E309" s="5" t="s">
        <v>355</v>
      </c>
      <c r="F309" s="5" t="s">
        <v>57</v>
      </c>
      <c r="G309" s="5" t="s">
        <v>58</v>
      </c>
      <c r="H309" s="5" t="n">
        <v>0</v>
      </c>
      <c r="I309" s="5" t="n">
        <v>0</v>
      </c>
      <c r="J309" s="5" t="n">
        <v>21</v>
      </c>
      <c r="K309" s="5" t="n">
        <v>12</v>
      </c>
      <c r="L309" s="5" t="n">
        <f aca="false">J309-K309</f>
        <v>9</v>
      </c>
      <c r="M309" s="11" t="n">
        <f aca="false">IF(J309=0,0,K309/J309)</f>
        <v>0.571428571428571</v>
      </c>
    </row>
    <row r="310" customFormat="false" ht="15" hidden="false" customHeight="false" outlineLevel="0" collapsed="false">
      <c r="A310" s="5" t="s">
        <v>626</v>
      </c>
      <c r="B310" s="5" t="s">
        <v>60</v>
      </c>
      <c r="C310" s="5" t="s">
        <v>48</v>
      </c>
      <c r="D310" s="5" t="s">
        <v>627</v>
      </c>
      <c r="E310" s="5" t="s">
        <v>597</v>
      </c>
      <c r="F310" s="5" t="s">
        <v>57</v>
      </c>
      <c r="G310" s="5" t="s">
        <v>58</v>
      </c>
      <c r="H310" s="5" t="n">
        <v>0</v>
      </c>
      <c r="I310" s="5" t="n">
        <v>0</v>
      </c>
      <c r="J310" s="5" t="n">
        <v>31</v>
      </c>
      <c r="K310" s="5" t="n">
        <v>16</v>
      </c>
      <c r="L310" s="5" t="n">
        <f aca="false">J310-K310</f>
        <v>15</v>
      </c>
      <c r="M310" s="11" t="n">
        <f aca="false">IF(J310=0,0,K310/J310)</f>
        <v>0.516129032258065</v>
      </c>
    </row>
    <row r="311" customFormat="false" ht="15" hidden="false" customHeight="false" outlineLevel="0" collapsed="false">
      <c r="A311" s="5" t="s">
        <v>628</v>
      </c>
      <c r="B311" s="5" t="s">
        <v>60</v>
      </c>
      <c r="C311" s="5" t="s">
        <v>48</v>
      </c>
      <c r="D311" s="5" t="s">
        <v>629</v>
      </c>
      <c r="E311" s="5" t="s">
        <v>597</v>
      </c>
      <c r="F311" s="5" t="s">
        <v>57</v>
      </c>
      <c r="G311" s="5" t="s">
        <v>58</v>
      </c>
      <c r="H311" s="5" t="n">
        <v>0</v>
      </c>
      <c r="I311" s="5" t="n">
        <v>0</v>
      </c>
      <c r="J311" s="5" t="n">
        <v>31</v>
      </c>
      <c r="K311" s="5" t="n">
        <v>17</v>
      </c>
      <c r="L311" s="5" t="n">
        <f aca="false">J311-K311</f>
        <v>14</v>
      </c>
      <c r="M311" s="11" t="n">
        <f aca="false">IF(J311=0,0,K311/J311)</f>
        <v>0.548387096774194</v>
      </c>
    </row>
    <row r="312" customFormat="false" ht="15" hidden="false" customHeight="false" outlineLevel="0" collapsed="false">
      <c r="A312" s="5" t="s">
        <v>630</v>
      </c>
      <c r="B312" s="5" t="s">
        <v>60</v>
      </c>
      <c r="C312" s="5" t="s">
        <v>48</v>
      </c>
      <c r="D312" s="5" t="s">
        <v>193</v>
      </c>
      <c r="E312" s="5" t="s">
        <v>357</v>
      </c>
      <c r="F312" s="5" t="s">
        <v>57</v>
      </c>
      <c r="G312" s="5" t="s">
        <v>58</v>
      </c>
      <c r="H312" s="5" t="n">
        <v>0</v>
      </c>
      <c r="I312" s="5" t="n">
        <v>0</v>
      </c>
      <c r="J312" s="5" t="n">
        <v>49</v>
      </c>
      <c r="K312" s="5" t="n">
        <v>30</v>
      </c>
      <c r="L312" s="5" t="n">
        <f aca="false">J312-K312</f>
        <v>19</v>
      </c>
      <c r="M312" s="11" t="n">
        <f aca="false">IF(J312=0,0,K312/J312)</f>
        <v>0.612244897959184</v>
      </c>
    </row>
    <row r="313" customFormat="false" ht="15" hidden="false" customHeight="false" outlineLevel="0" collapsed="false">
      <c r="A313" s="5" t="s">
        <v>631</v>
      </c>
      <c r="B313" s="5" t="s">
        <v>60</v>
      </c>
      <c r="C313" s="5" t="s">
        <v>48</v>
      </c>
      <c r="D313" s="5" t="s">
        <v>519</v>
      </c>
      <c r="E313" s="5" t="s">
        <v>130</v>
      </c>
      <c r="F313" s="5" t="s">
        <v>57</v>
      </c>
      <c r="G313" s="5" t="s">
        <v>58</v>
      </c>
      <c r="H313" s="5" t="n">
        <v>0</v>
      </c>
      <c r="I313" s="5" t="n">
        <v>0</v>
      </c>
      <c r="J313" s="5" t="n">
        <v>32</v>
      </c>
      <c r="K313" s="5" t="n">
        <v>26</v>
      </c>
      <c r="L313" s="5" t="n">
        <f aca="false">J313-K313</f>
        <v>6</v>
      </c>
      <c r="M313" s="11" t="n">
        <f aca="false">IF(J313=0,0,K313/J313)</f>
        <v>0.8125</v>
      </c>
    </row>
    <row r="314" customFormat="false" ht="15" hidden="false" customHeight="false" outlineLevel="0" collapsed="false">
      <c r="A314" s="5" t="s">
        <v>632</v>
      </c>
      <c r="B314" s="5" t="s">
        <v>60</v>
      </c>
      <c r="C314" s="5" t="s">
        <v>48</v>
      </c>
      <c r="D314" s="5" t="s">
        <v>411</v>
      </c>
      <c r="E314" s="5" t="s">
        <v>586</v>
      </c>
      <c r="F314" s="5" t="s">
        <v>57</v>
      </c>
      <c r="G314" s="5" t="s">
        <v>58</v>
      </c>
      <c r="H314" s="5" t="n">
        <v>0</v>
      </c>
      <c r="I314" s="5" t="n">
        <v>0</v>
      </c>
      <c r="J314" s="5" t="n">
        <v>18</v>
      </c>
      <c r="K314" s="5" t="n">
        <v>15</v>
      </c>
      <c r="L314" s="5" t="n">
        <f aca="false">J314-K314</f>
        <v>3</v>
      </c>
      <c r="M314" s="11" t="n">
        <f aca="false">IF(J314=0,0,K314/J314)</f>
        <v>0.833333333333333</v>
      </c>
    </row>
    <row r="315" customFormat="false" ht="15" hidden="false" customHeight="false" outlineLevel="0" collapsed="false">
      <c r="A315" s="5" t="s">
        <v>633</v>
      </c>
      <c r="B315" s="5" t="s">
        <v>60</v>
      </c>
      <c r="C315" s="5" t="s">
        <v>48</v>
      </c>
      <c r="D315" s="5" t="s">
        <v>378</v>
      </c>
      <c r="E315" s="5" t="s">
        <v>634</v>
      </c>
      <c r="F315" s="5" t="s">
        <v>57</v>
      </c>
      <c r="G315" s="5" t="s">
        <v>58</v>
      </c>
      <c r="H315" s="5" t="n">
        <v>0</v>
      </c>
      <c r="I315" s="5" t="n">
        <v>0</v>
      </c>
      <c r="J315" s="5" t="n">
        <v>16</v>
      </c>
      <c r="K315" s="5" t="n">
        <v>7</v>
      </c>
      <c r="L315" s="5" t="n">
        <f aca="false">J315-K315</f>
        <v>9</v>
      </c>
      <c r="M315" s="11" t="n">
        <f aca="false">IF(J315=0,0,K315/J315)</f>
        <v>0.4375</v>
      </c>
    </row>
    <row r="316" customFormat="false" ht="15" hidden="false" customHeight="false" outlineLevel="0" collapsed="false">
      <c r="A316" s="5" t="s">
        <v>635</v>
      </c>
      <c r="B316" s="5" t="s">
        <v>636</v>
      </c>
      <c r="C316" s="5" t="s">
        <v>48</v>
      </c>
      <c r="D316" s="5" t="s">
        <v>193</v>
      </c>
      <c r="E316" s="5" t="s">
        <v>249</v>
      </c>
      <c r="F316" s="5" t="s">
        <v>51</v>
      </c>
      <c r="G316" s="5" t="s">
        <v>52</v>
      </c>
      <c r="H316" s="5" t="n">
        <v>6</v>
      </c>
      <c r="I316" s="5" t="n">
        <v>6</v>
      </c>
      <c r="J316" s="5" t="n">
        <v>6</v>
      </c>
      <c r="K316" s="5" t="n">
        <v>6</v>
      </c>
      <c r="L316" s="5" t="n">
        <f aca="false">J316-K316</f>
        <v>0</v>
      </c>
      <c r="M316" s="11" t="n">
        <f aca="false">IF(J316=0,0,K316/J316)</f>
        <v>1</v>
      </c>
    </row>
    <row r="317" customFormat="false" ht="15" hidden="false" customHeight="false" outlineLevel="0" collapsed="false">
      <c r="A317" s="5" t="s">
        <v>637</v>
      </c>
      <c r="B317" s="5" t="s">
        <v>60</v>
      </c>
      <c r="C317" s="5" t="s">
        <v>48</v>
      </c>
      <c r="D317" s="5" t="s">
        <v>638</v>
      </c>
      <c r="E317" s="5" t="s">
        <v>639</v>
      </c>
      <c r="F317" s="5" t="s">
        <v>57</v>
      </c>
      <c r="G317" s="5" t="s">
        <v>58</v>
      </c>
      <c r="H317" s="5" t="n">
        <v>0</v>
      </c>
      <c r="I317" s="5" t="n">
        <v>0</v>
      </c>
      <c r="J317" s="5" t="n">
        <v>19</v>
      </c>
      <c r="K317" s="5" t="n">
        <v>6</v>
      </c>
      <c r="L317" s="5" t="n">
        <f aca="false">J317-K317</f>
        <v>13</v>
      </c>
      <c r="M317" s="11" t="n">
        <f aca="false">IF(J317=0,0,K317/J317)</f>
        <v>0.315789473684211</v>
      </c>
    </row>
    <row r="318" customFormat="false" ht="15" hidden="false" customHeight="false" outlineLevel="0" collapsed="false">
      <c r="A318" s="5" t="s">
        <v>640</v>
      </c>
      <c r="B318" s="5" t="s">
        <v>60</v>
      </c>
      <c r="C318" s="5" t="s">
        <v>48</v>
      </c>
      <c r="D318" s="5" t="s">
        <v>519</v>
      </c>
      <c r="E318" s="5" t="s">
        <v>641</v>
      </c>
      <c r="F318" s="5" t="s">
        <v>57</v>
      </c>
      <c r="G318" s="5" t="s">
        <v>58</v>
      </c>
      <c r="H318" s="5" t="n">
        <v>0</v>
      </c>
      <c r="I318" s="5" t="n">
        <v>0</v>
      </c>
      <c r="J318" s="5" t="n">
        <v>27</v>
      </c>
      <c r="K318" s="5" t="n">
        <v>14</v>
      </c>
      <c r="L318" s="5" t="n">
        <f aca="false">J318-K318</f>
        <v>13</v>
      </c>
      <c r="M318" s="11" t="n">
        <f aca="false">IF(J318=0,0,K318/J318)</f>
        <v>0.518518518518519</v>
      </c>
    </row>
    <row r="319" customFormat="false" ht="15" hidden="false" customHeight="false" outlineLevel="0" collapsed="false">
      <c r="A319" s="5" t="s">
        <v>642</v>
      </c>
      <c r="B319" s="5" t="s">
        <v>60</v>
      </c>
      <c r="C319" s="5" t="s">
        <v>48</v>
      </c>
      <c r="D319" s="5" t="s">
        <v>519</v>
      </c>
      <c r="E319" s="5" t="s">
        <v>643</v>
      </c>
      <c r="F319" s="5" t="s">
        <v>57</v>
      </c>
      <c r="G319" s="5" t="s">
        <v>58</v>
      </c>
      <c r="H319" s="5" t="n">
        <v>0</v>
      </c>
      <c r="I319" s="5" t="n">
        <v>0</v>
      </c>
      <c r="J319" s="5" t="n">
        <v>43</v>
      </c>
      <c r="K319" s="5" t="n">
        <v>20</v>
      </c>
      <c r="L319" s="5" t="n">
        <f aca="false">J319-K319</f>
        <v>23</v>
      </c>
      <c r="M319" s="11" t="n">
        <f aca="false">IF(J319=0,0,K319/J319)</f>
        <v>0.465116279069767</v>
      </c>
    </row>
    <row r="320" customFormat="false" ht="15" hidden="false" customHeight="false" outlineLevel="0" collapsed="false">
      <c r="A320" s="5" t="s">
        <v>644</v>
      </c>
      <c r="B320" s="5" t="s">
        <v>60</v>
      </c>
      <c r="C320" s="5" t="s">
        <v>48</v>
      </c>
      <c r="D320" s="5" t="s">
        <v>645</v>
      </c>
      <c r="E320" s="5" t="s">
        <v>646</v>
      </c>
      <c r="F320" s="5" t="s">
        <v>57</v>
      </c>
      <c r="G320" s="5" t="s">
        <v>58</v>
      </c>
      <c r="H320" s="5" t="n">
        <v>0</v>
      </c>
      <c r="I320" s="5" t="n">
        <v>0</v>
      </c>
      <c r="J320" s="5" t="n">
        <v>14</v>
      </c>
      <c r="K320" s="5" t="n">
        <v>11</v>
      </c>
      <c r="L320" s="5" t="n">
        <f aca="false">J320-K320</f>
        <v>3</v>
      </c>
      <c r="M320" s="11" t="n">
        <f aca="false">IF(J320=0,0,K320/J320)</f>
        <v>0.785714285714286</v>
      </c>
    </row>
    <row r="321" customFormat="false" ht="15" hidden="false" customHeight="false" outlineLevel="0" collapsed="false">
      <c r="A321" s="5" t="s">
        <v>647</v>
      </c>
      <c r="B321" s="5" t="s">
        <v>60</v>
      </c>
      <c r="C321" s="5" t="s">
        <v>48</v>
      </c>
      <c r="D321" s="5" t="s">
        <v>249</v>
      </c>
      <c r="E321" s="5" t="s">
        <v>648</v>
      </c>
      <c r="F321" s="5" t="s">
        <v>57</v>
      </c>
      <c r="G321" s="5" t="s">
        <v>58</v>
      </c>
      <c r="H321" s="5" t="n">
        <v>0</v>
      </c>
      <c r="I321" s="5" t="n">
        <v>0</v>
      </c>
      <c r="J321" s="5" t="n">
        <v>15</v>
      </c>
      <c r="K321" s="5" t="n">
        <v>11</v>
      </c>
      <c r="L321" s="5" t="n">
        <f aca="false">J321-K321</f>
        <v>4</v>
      </c>
      <c r="M321" s="11" t="n">
        <f aca="false">IF(J321=0,0,K321/J321)</f>
        <v>0.733333333333333</v>
      </c>
    </row>
    <row r="322" customFormat="false" ht="15" hidden="false" customHeight="false" outlineLevel="0" collapsed="false">
      <c r="A322" s="5" t="s">
        <v>649</v>
      </c>
      <c r="B322" s="5" t="s">
        <v>60</v>
      </c>
      <c r="C322" s="5" t="s">
        <v>48</v>
      </c>
      <c r="D322" s="5" t="s">
        <v>419</v>
      </c>
      <c r="E322" s="5" t="s">
        <v>249</v>
      </c>
      <c r="F322" s="5" t="s">
        <v>57</v>
      </c>
      <c r="G322" s="5" t="s">
        <v>58</v>
      </c>
      <c r="H322" s="5" t="n">
        <v>0</v>
      </c>
      <c r="I322" s="5" t="n">
        <v>0</v>
      </c>
      <c r="J322" s="5" t="n">
        <v>46</v>
      </c>
      <c r="K322" s="5" t="n">
        <v>26</v>
      </c>
      <c r="L322" s="5" t="n">
        <f aca="false">J322-K322</f>
        <v>20</v>
      </c>
      <c r="M322" s="11" t="n">
        <f aca="false">IF(J322=0,0,K322/J322)</f>
        <v>0.565217391304348</v>
      </c>
    </row>
    <row r="323" customFormat="false" ht="15" hidden="false" customHeight="false" outlineLevel="0" collapsed="false">
      <c r="A323" s="5" t="s">
        <v>650</v>
      </c>
      <c r="B323" s="5" t="s">
        <v>60</v>
      </c>
      <c r="C323" s="5" t="s">
        <v>48</v>
      </c>
      <c r="D323" s="5" t="s">
        <v>651</v>
      </c>
      <c r="E323" s="5" t="s">
        <v>463</v>
      </c>
      <c r="F323" s="5" t="s">
        <v>57</v>
      </c>
      <c r="G323" s="5" t="s">
        <v>58</v>
      </c>
      <c r="H323" s="5" t="n">
        <v>0</v>
      </c>
      <c r="I323" s="5" t="n">
        <v>0</v>
      </c>
      <c r="J323" s="5" t="n">
        <v>18</v>
      </c>
      <c r="K323" s="5" t="n">
        <v>16</v>
      </c>
      <c r="L323" s="5" t="n">
        <f aca="false">J323-K323</f>
        <v>2</v>
      </c>
      <c r="M323" s="11" t="n">
        <f aca="false">IF(J323=0,0,K323/J323)</f>
        <v>0.888888888888889</v>
      </c>
    </row>
    <row r="324" customFormat="false" ht="15" hidden="false" customHeight="false" outlineLevel="0" collapsed="false">
      <c r="A324" s="5" t="s">
        <v>652</v>
      </c>
      <c r="B324" s="5" t="s">
        <v>60</v>
      </c>
      <c r="C324" s="5" t="s">
        <v>48</v>
      </c>
      <c r="D324" s="5" t="s">
        <v>653</v>
      </c>
      <c r="E324" s="5" t="s">
        <v>206</v>
      </c>
      <c r="F324" s="5" t="s">
        <v>57</v>
      </c>
      <c r="G324" s="5" t="s">
        <v>58</v>
      </c>
      <c r="H324" s="5" t="n">
        <v>0</v>
      </c>
      <c r="I324" s="5" t="n">
        <v>0</v>
      </c>
      <c r="J324" s="5" t="n">
        <v>31</v>
      </c>
      <c r="K324" s="5" t="n">
        <v>23</v>
      </c>
      <c r="L324" s="5" t="n">
        <f aca="false">J324-K324</f>
        <v>8</v>
      </c>
      <c r="M324" s="11" t="n">
        <f aca="false">IF(J324=0,0,K324/J324)</f>
        <v>0.741935483870968</v>
      </c>
    </row>
    <row r="325" customFormat="false" ht="15" hidden="false" customHeight="false" outlineLevel="0" collapsed="false">
      <c r="A325" s="5" t="s">
        <v>654</v>
      </c>
      <c r="B325" s="5" t="s">
        <v>655</v>
      </c>
      <c r="C325" s="5" t="s">
        <v>48</v>
      </c>
      <c r="D325" s="5" t="s">
        <v>206</v>
      </c>
      <c r="E325" s="5" t="s">
        <v>656</v>
      </c>
      <c r="F325" s="5" t="s">
        <v>51</v>
      </c>
      <c r="G325" s="5" t="s">
        <v>52</v>
      </c>
      <c r="H325" s="5" t="n">
        <v>6</v>
      </c>
      <c r="I325" s="5" t="n">
        <v>6</v>
      </c>
      <c r="J325" s="5" t="n">
        <v>6</v>
      </c>
      <c r="K325" s="5" t="n">
        <v>6</v>
      </c>
      <c r="L325" s="5" t="n">
        <f aca="false">J325-K325</f>
        <v>0</v>
      </c>
      <c r="M325" s="11" t="n">
        <f aca="false">IF(J325=0,0,K325/J325)</f>
        <v>1</v>
      </c>
    </row>
    <row r="326" customFormat="false" ht="15" hidden="false" customHeight="false" outlineLevel="0" collapsed="false">
      <c r="A326" s="5" t="s">
        <v>657</v>
      </c>
      <c r="B326" s="5" t="s">
        <v>54</v>
      </c>
      <c r="C326" s="5" t="s">
        <v>48</v>
      </c>
      <c r="D326" s="5" t="s">
        <v>193</v>
      </c>
      <c r="E326" s="5" t="s">
        <v>491</v>
      </c>
      <c r="F326" s="5" t="s">
        <v>57</v>
      </c>
      <c r="G326" s="5" t="s">
        <v>58</v>
      </c>
      <c r="H326" s="5" t="n">
        <v>0</v>
      </c>
      <c r="I326" s="5" t="n">
        <v>0</v>
      </c>
      <c r="J326" s="5" t="n">
        <v>19</v>
      </c>
      <c r="K326" s="5" t="n">
        <v>16</v>
      </c>
      <c r="L326" s="5" t="n">
        <f aca="false">J326-K326</f>
        <v>3</v>
      </c>
      <c r="M326" s="11" t="n">
        <f aca="false">IF(J326=0,0,K326/J326)</f>
        <v>0.842105263157895</v>
      </c>
    </row>
    <row r="327" customFormat="false" ht="15" hidden="false" customHeight="false" outlineLevel="0" collapsed="false">
      <c r="A327" s="5" t="s">
        <v>658</v>
      </c>
      <c r="B327" s="5" t="s">
        <v>54</v>
      </c>
      <c r="C327" s="5" t="s">
        <v>48</v>
      </c>
      <c r="D327" s="5" t="s">
        <v>193</v>
      </c>
      <c r="E327" s="5" t="s">
        <v>64</v>
      </c>
      <c r="F327" s="5" t="s">
        <v>57</v>
      </c>
      <c r="G327" s="5" t="s">
        <v>58</v>
      </c>
      <c r="H327" s="5" t="n">
        <v>0</v>
      </c>
      <c r="I327" s="5" t="n">
        <v>0</v>
      </c>
      <c r="J327" s="5" t="n">
        <v>15</v>
      </c>
      <c r="K327" s="5" t="n">
        <v>12</v>
      </c>
      <c r="L327" s="5" t="n">
        <f aca="false">J327-K327</f>
        <v>3</v>
      </c>
      <c r="M327" s="11" t="n">
        <f aca="false">IF(J327=0,0,K327/J327)</f>
        <v>0.8</v>
      </c>
    </row>
    <row r="328" customFormat="false" ht="15" hidden="false" customHeight="false" outlineLevel="0" collapsed="false">
      <c r="A328" s="5" t="s">
        <v>659</v>
      </c>
      <c r="B328" s="5" t="s">
        <v>54</v>
      </c>
      <c r="C328" s="5" t="s">
        <v>48</v>
      </c>
      <c r="D328" s="5" t="s">
        <v>660</v>
      </c>
      <c r="E328" s="5" t="s">
        <v>56</v>
      </c>
      <c r="F328" s="5" t="s">
        <v>57</v>
      </c>
      <c r="G328" s="5" t="s">
        <v>58</v>
      </c>
      <c r="H328" s="5" t="n">
        <v>0</v>
      </c>
      <c r="I328" s="5" t="n">
        <v>0</v>
      </c>
      <c r="J328" s="5" t="n">
        <v>22</v>
      </c>
      <c r="K328" s="5" t="n">
        <v>15</v>
      </c>
      <c r="L328" s="5" t="n">
        <f aca="false">J328-K328</f>
        <v>7</v>
      </c>
      <c r="M328" s="11" t="n">
        <f aca="false">IF(J328=0,0,K328/J328)</f>
        <v>0.681818181818182</v>
      </c>
    </row>
    <row r="329" customFormat="false" ht="15" hidden="false" customHeight="false" outlineLevel="0" collapsed="false">
      <c r="A329" s="5" t="s">
        <v>661</v>
      </c>
      <c r="B329" s="5" t="s">
        <v>662</v>
      </c>
      <c r="C329" s="5" t="s">
        <v>48</v>
      </c>
      <c r="D329" s="5" t="s">
        <v>449</v>
      </c>
      <c r="E329" s="5" t="s">
        <v>56</v>
      </c>
      <c r="F329" s="5" t="s">
        <v>51</v>
      </c>
      <c r="G329" s="5" t="s">
        <v>52</v>
      </c>
      <c r="H329" s="5" t="n">
        <v>8</v>
      </c>
      <c r="I329" s="5" t="n">
        <v>8</v>
      </c>
      <c r="J329" s="5" t="n">
        <v>7</v>
      </c>
      <c r="K329" s="5" t="n">
        <v>7</v>
      </c>
      <c r="L329" s="5" t="n">
        <f aca="false">J329-K329</f>
        <v>0</v>
      </c>
      <c r="M329" s="11" t="n">
        <f aca="false">IF(J329=0,0,K329/J329)</f>
        <v>1</v>
      </c>
    </row>
    <row r="330" customFormat="false" ht="15" hidden="false" customHeight="false" outlineLevel="0" collapsed="false">
      <c r="A330" s="5" t="s">
        <v>663</v>
      </c>
      <c r="B330" s="5" t="s">
        <v>54</v>
      </c>
      <c r="C330" s="5" t="s">
        <v>48</v>
      </c>
      <c r="D330" s="5" t="s">
        <v>64</v>
      </c>
      <c r="E330" s="5" t="s">
        <v>664</v>
      </c>
      <c r="F330" s="5" t="s">
        <v>57</v>
      </c>
      <c r="G330" s="5" t="s">
        <v>58</v>
      </c>
      <c r="H330" s="5" t="n">
        <v>0</v>
      </c>
      <c r="I330" s="5" t="n">
        <v>0</v>
      </c>
      <c r="J330" s="5" t="n">
        <v>10</v>
      </c>
      <c r="K330" s="5" t="n">
        <v>7</v>
      </c>
      <c r="L330" s="5" t="n">
        <f aca="false">J330-K330</f>
        <v>3</v>
      </c>
      <c r="M330" s="11" t="n">
        <f aca="false">IF(J330=0,0,K330/J330)</f>
        <v>0.7</v>
      </c>
    </row>
    <row r="331" customFormat="false" ht="15" hidden="false" customHeight="false" outlineLevel="0" collapsed="false">
      <c r="A331" s="5" t="s">
        <v>665</v>
      </c>
      <c r="B331" s="5" t="s">
        <v>54</v>
      </c>
      <c r="C331" s="5" t="s">
        <v>48</v>
      </c>
      <c r="D331" s="5" t="s">
        <v>64</v>
      </c>
      <c r="E331" s="5" t="s">
        <v>666</v>
      </c>
      <c r="F331" s="5" t="s">
        <v>57</v>
      </c>
      <c r="G331" s="5" t="s">
        <v>58</v>
      </c>
      <c r="H331" s="5" t="n">
        <v>0</v>
      </c>
      <c r="I331" s="5" t="n">
        <v>0</v>
      </c>
      <c r="J331" s="5" t="n">
        <v>7</v>
      </c>
      <c r="K331" s="5" t="n">
        <v>6</v>
      </c>
      <c r="L331" s="5" t="n">
        <f aca="false">J331-K331</f>
        <v>1</v>
      </c>
      <c r="M331" s="11" t="n">
        <f aca="false">IF(J331=0,0,K331/J331)</f>
        <v>0.857142857142857</v>
      </c>
    </row>
    <row r="332" customFormat="false" ht="15" hidden="false" customHeight="false" outlineLevel="0" collapsed="false">
      <c r="A332" s="5" t="s">
        <v>667</v>
      </c>
      <c r="B332" s="5" t="s">
        <v>54</v>
      </c>
      <c r="C332" s="5" t="s">
        <v>48</v>
      </c>
      <c r="D332" s="5" t="s">
        <v>64</v>
      </c>
      <c r="E332" s="5" t="s">
        <v>668</v>
      </c>
      <c r="F332" s="5" t="s">
        <v>57</v>
      </c>
      <c r="G332" s="5" t="s">
        <v>58</v>
      </c>
      <c r="H332" s="5" t="n">
        <v>0</v>
      </c>
      <c r="I332" s="5" t="n">
        <v>0</v>
      </c>
      <c r="J332" s="5" t="n">
        <v>11</v>
      </c>
      <c r="K332" s="5" t="n">
        <v>9</v>
      </c>
      <c r="L332" s="5" t="n">
        <f aca="false">J332-K332</f>
        <v>2</v>
      </c>
      <c r="M332" s="11" t="n">
        <f aca="false">IF(J332=0,0,K332/J332)</f>
        <v>0.818181818181818</v>
      </c>
    </row>
    <row r="333" customFormat="false" ht="15" hidden="false" customHeight="false" outlineLevel="0" collapsed="false">
      <c r="A333" s="5" t="s">
        <v>669</v>
      </c>
      <c r="B333" s="5" t="s">
        <v>54</v>
      </c>
      <c r="C333" s="5" t="s">
        <v>48</v>
      </c>
      <c r="D333" s="5" t="s">
        <v>64</v>
      </c>
      <c r="E333" s="5" t="s">
        <v>530</v>
      </c>
      <c r="F333" s="5" t="s">
        <v>57</v>
      </c>
      <c r="G333" s="5" t="s">
        <v>58</v>
      </c>
      <c r="H333" s="5" t="n">
        <v>0</v>
      </c>
      <c r="I333" s="5" t="n">
        <v>0</v>
      </c>
      <c r="J333" s="5" t="n">
        <v>11</v>
      </c>
      <c r="K333" s="5" t="n">
        <v>10</v>
      </c>
      <c r="L333" s="5" t="n">
        <f aca="false">J333-K333</f>
        <v>1</v>
      </c>
      <c r="M333" s="11" t="n">
        <f aca="false">IF(J333=0,0,K333/J333)</f>
        <v>0.909090909090909</v>
      </c>
    </row>
    <row r="334" customFormat="false" ht="15" hidden="false" customHeight="false" outlineLevel="0" collapsed="false">
      <c r="A334" s="5" t="s">
        <v>670</v>
      </c>
      <c r="B334" s="5" t="s">
        <v>54</v>
      </c>
      <c r="C334" s="5" t="s">
        <v>48</v>
      </c>
      <c r="D334" s="5" t="s">
        <v>193</v>
      </c>
      <c r="E334" s="5" t="s">
        <v>617</v>
      </c>
      <c r="F334" s="5" t="s">
        <v>57</v>
      </c>
      <c r="G334" s="5" t="s">
        <v>58</v>
      </c>
      <c r="H334" s="5" t="n">
        <v>0</v>
      </c>
      <c r="I334" s="5" t="n">
        <v>0</v>
      </c>
      <c r="J334" s="5" t="n">
        <v>17</v>
      </c>
      <c r="K334" s="5" t="n">
        <v>14</v>
      </c>
      <c r="L334" s="5" t="n">
        <f aca="false">J334-K334</f>
        <v>3</v>
      </c>
      <c r="M334" s="11" t="n">
        <f aca="false">IF(J334=0,0,K334/J334)</f>
        <v>0.823529411764706</v>
      </c>
    </row>
    <row r="335" customFormat="false" ht="15" hidden="false" customHeight="false" outlineLevel="0" collapsed="false">
      <c r="A335" s="5" t="s">
        <v>671</v>
      </c>
      <c r="B335" s="5" t="s">
        <v>54</v>
      </c>
      <c r="C335" s="5" t="s">
        <v>48</v>
      </c>
      <c r="D335" s="5" t="s">
        <v>193</v>
      </c>
      <c r="E335" s="5" t="s">
        <v>617</v>
      </c>
      <c r="F335" s="5" t="s">
        <v>57</v>
      </c>
      <c r="G335" s="5" t="s">
        <v>58</v>
      </c>
      <c r="H335" s="5" t="n">
        <v>0</v>
      </c>
      <c r="I335" s="5" t="n">
        <v>0</v>
      </c>
      <c r="J335" s="5" t="n">
        <v>15</v>
      </c>
      <c r="K335" s="5" t="n">
        <v>11</v>
      </c>
      <c r="L335" s="5" t="n">
        <f aca="false">J335-K335</f>
        <v>4</v>
      </c>
      <c r="M335" s="11" t="n">
        <f aca="false">IF(J335=0,0,K335/J335)</f>
        <v>0.733333333333333</v>
      </c>
    </row>
    <row r="336" customFormat="false" ht="15" hidden="false" customHeight="false" outlineLevel="0" collapsed="false">
      <c r="A336" s="5" t="s">
        <v>672</v>
      </c>
      <c r="B336" s="5" t="s">
        <v>54</v>
      </c>
      <c r="C336" s="5" t="s">
        <v>48</v>
      </c>
      <c r="D336" s="5" t="s">
        <v>64</v>
      </c>
      <c r="E336" s="5" t="s">
        <v>357</v>
      </c>
      <c r="F336" s="5" t="s">
        <v>57</v>
      </c>
      <c r="G336" s="5" t="s">
        <v>58</v>
      </c>
      <c r="H336" s="5" t="n">
        <v>0</v>
      </c>
      <c r="I336" s="5" t="n">
        <v>0</v>
      </c>
      <c r="J336" s="5" t="n">
        <v>9</v>
      </c>
      <c r="K336" s="5" t="n">
        <v>7</v>
      </c>
      <c r="L336" s="5" t="n">
        <f aca="false">J336-K336</f>
        <v>2</v>
      </c>
      <c r="M336" s="11" t="n">
        <f aca="false">IF(J336=0,0,K336/J336)</f>
        <v>0.777777777777778</v>
      </c>
    </row>
    <row r="337" customFormat="false" ht="15" hidden="false" customHeight="false" outlineLevel="0" collapsed="false">
      <c r="A337" s="5" t="s">
        <v>673</v>
      </c>
      <c r="B337" s="5" t="s">
        <v>54</v>
      </c>
      <c r="C337" s="5" t="s">
        <v>48</v>
      </c>
      <c r="D337" s="5" t="s">
        <v>361</v>
      </c>
      <c r="E337" s="5" t="s">
        <v>617</v>
      </c>
      <c r="F337" s="5" t="s">
        <v>57</v>
      </c>
      <c r="G337" s="5" t="s">
        <v>58</v>
      </c>
      <c r="H337" s="5" t="n">
        <v>0</v>
      </c>
      <c r="I337" s="5" t="n">
        <v>0</v>
      </c>
      <c r="J337" s="5" t="n">
        <v>18</v>
      </c>
      <c r="K337" s="5" t="n">
        <v>14</v>
      </c>
      <c r="L337" s="5" t="n">
        <f aca="false">J337-K337</f>
        <v>4</v>
      </c>
      <c r="M337" s="11" t="n">
        <f aca="false">IF(J337=0,0,K337/J337)</f>
        <v>0.777777777777778</v>
      </c>
    </row>
    <row r="338" customFormat="false" ht="15" hidden="false" customHeight="false" outlineLevel="0" collapsed="false">
      <c r="A338" s="5" t="s">
        <v>674</v>
      </c>
      <c r="B338" s="5" t="s">
        <v>54</v>
      </c>
      <c r="C338" s="5" t="s">
        <v>48</v>
      </c>
      <c r="D338" s="5" t="s">
        <v>64</v>
      </c>
      <c r="E338" s="5" t="s">
        <v>143</v>
      </c>
      <c r="F338" s="5" t="s">
        <v>57</v>
      </c>
      <c r="G338" s="5" t="s">
        <v>58</v>
      </c>
      <c r="H338" s="5" t="n">
        <v>0</v>
      </c>
      <c r="I338" s="5" t="n">
        <v>0</v>
      </c>
      <c r="J338" s="5" t="n">
        <v>10</v>
      </c>
      <c r="K338" s="5" t="n">
        <v>9</v>
      </c>
      <c r="L338" s="5" t="n">
        <f aca="false">J338-K338</f>
        <v>1</v>
      </c>
      <c r="M338" s="11" t="n">
        <f aca="false">IF(J338=0,0,K338/J338)</f>
        <v>0.9</v>
      </c>
    </row>
    <row r="339" customFormat="false" ht="15" hidden="false" customHeight="false" outlineLevel="0" collapsed="false">
      <c r="A339" s="5" t="s">
        <v>675</v>
      </c>
      <c r="B339" s="5" t="s">
        <v>54</v>
      </c>
      <c r="C339" s="5" t="s">
        <v>48</v>
      </c>
      <c r="D339" s="5" t="s">
        <v>64</v>
      </c>
      <c r="E339" s="5" t="s">
        <v>143</v>
      </c>
      <c r="F339" s="5" t="s">
        <v>57</v>
      </c>
      <c r="G339" s="5" t="s">
        <v>58</v>
      </c>
      <c r="H339" s="5" t="n">
        <v>0</v>
      </c>
      <c r="I339" s="5" t="n">
        <v>0</v>
      </c>
      <c r="J339" s="5" t="n">
        <v>9</v>
      </c>
      <c r="K339" s="5" t="n">
        <v>8</v>
      </c>
      <c r="L339" s="5" t="n">
        <f aca="false">J339-K339</f>
        <v>1</v>
      </c>
      <c r="M339" s="11" t="n">
        <f aca="false">IF(J339=0,0,K339/J339)</f>
        <v>0.888888888888889</v>
      </c>
    </row>
    <row r="340" customFormat="false" ht="15" hidden="false" customHeight="false" outlineLevel="0" collapsed="false">
      <c r="A340" s="5" t="s">
        <v>676</v>
      </c>
      <c r="B340" s="5" t="s">
        <v>54</v>
      </c>
      <c r="C340" s="5" t="s">
        <v>48</v>
      </c>
      <c r="D340" s="5" t="s">
        <v>64</v>
      </c>
      <c r="E340" s="5" t="s">
        <v>677</v>
      </c>
      <c r="F340" s="5" t="s">
        <v>57</v>
      </c>
      <c r="G340" s="5" t="s">
        <v>58</v>
      </c>
      <c r="H340" s="5" t="n">
        <v>0</v>
      </c>
      <c r="I340" s="5" t="n">
        <v>0</v>
      </c>
      <c r="J340" s="5" t="n">
        <v>10</v>
      </c>
      <c r="K340" s="5" t="n">
        <v>8</v>
      </c>
      <c r="L340" s="5" t="n">
        <f aca="false">J340-K340</f>
        <v>2</v>
      </c>
      <c r="M340" s="11" t="n">
        <f aca="false">IF(J340=0,0,K340/J340)</f>
        <v>0.8</v>
      </c>
    </row>
    <row r="341" customFormat="false" ht="15" hidden="false" customHeight="false" outlineLevel="0" collapsed="false">
      <c r="A341" s="5" t="s">
        <v>678</v>
      </c>
      <c r="B341" s="5" t="s">
        <v>54</v>
      </c>
      <c r="C341" s="5" t="s">
        <v>48</v>
      </c>
      <c r="D341" s="5" t="s">
        <v>64</v>
      </c>
      <c r="E341" s="5" t="s">
        <v>679</v>
      </c>
      <c r="F341" s="5" t="s">
        <v>57</v>
      </c>
      <c r="G341" s="5" t="s">
        <v>58</v>
      </c>
      <c r="H341" s="5" t="n">
        <v>0</v>
      </c>
      <c r="I341" s="5" t="n">
        <v>0</v>
      </c>
      <c r="J341" s="5" t="n">
        <v>10</v>
      </c>
      <c r="K341" s="5" t="n">
        <v>7</v>
      </c>
      <c r="L341" s="5" t="n">
        <f aca="false">J341-K341</f>
        <v>3</v>
      </c>
      <c r="M341" s="11" t="n">
        <f aca="false">IF(J341=0,0,K341/J341)</f>
        <v>0.7</v>
      </c>
    </row>
    <row r="342" customFormat="false" ht="15" hidden="false" customHeight="false" outlineLevel="0" collapsed="false">
      <c r="A342" s="5" t="s">
        <v>680</v>
      </c>
      <c r="B342" s="5" t="s">
        <v>54</v>
      </c>
      <c r="C342" s="5" t="s">
        <v>48</v>
      </c>
      <c r="D342" s="5" t="s">
        <v>64</v>
      </c>
      <c r="E342" s="5" t="s">
        <v>681</v>
      </c>
      <c r="F342" s="5" t="s">
        <v>57</v>
      </c>
      <c r="G342" s="5" t="s">
        <v>58</v>
      </c>
      <c r="H342" s="5" t="n">
        <v>0</v>
      </c>
      <c r="I342" s="5" t="n">
        <v>0</v>
      </c>
      <c r="J342" s="5" t="n">
        <v>14</v>
      </c>
      <c r="K342" s="5" t="n">
        <v>6</v>
      </c>
      <c r="L342" s="5" t="n">
        <f aca="false">J342-K342</f>
        <v>8</v>
      </c>
      <c r="M342" s="11" t="n">
        <f aca="false">IF(J342=0,0,K342/J342)</f>
        <v>0.428571428571429</v>
      </c>
    </row>
    <row r="343" customFormat="false" ht="15" hidden="false" customHeight="false" outlineLevel="0" collapsed="false">
      <c r="A343" s="5" t="s">
        <v>682</v>
      </c>
      <c r="B343" s="5" t="s">
        <v>54</v>
      </c>
      <c r="C343" s="5" t="s">
        <v>48</v>
      </c>
      <c r="D343" s="5" t="s">
        <v>64</v>
      </c>
      <c r="E343" s="5" t="s">
        <v>683</v>
      </c>
      <c r="F343" s="5" t="s">
        <v>57</v>
      </c>
      <c r="G343" s="5" t="s">
        <v>58</v>
      </c>
      <c r="H343" s="5" t="n">
        <v>0</v>
      </c>
      <c r="I343" s="5" t="n">
        <v>0</v>
      </c>
      <c r="J343" s="5" t="n">
        <v>15</v>
      </c>
      <c r="K343" s="5" t="n">
        <v>10</v>
      </c>
      <c r="L343" s="5" t="n">
        <f aca="false">J343-K343</f>
        <v>5</v>
      </c>
      <c r="M343" s="11" t="n">
        <f aca="false">IF(J343=0,0,K343/J343)</f>
        <v>0.666666666666667</v>
      </c>
    </row>
    <row r="344" customFormat="false" ht="15" hidden="false" customHeight="false" outlineLevel="0" collapsed="false">
      <c r="A344" s="5" t="s">
        <v>684</v>
      </c>
      <c r="B344" s="5" t="s">
        <v>54</v>
      </c>
      <c r="C344" s="5" t="s">
        <v>48</v>
      </c>
      <c r="D344" s="5" t="s">
        <v>56</v>
      </c>
      <c r="E344" s="5" t="s">
        <v>685</v>
      </c>
      <c r="F344" s="5" t="s">
        <v>57</v>
      </c>
      <c r="G344" s="5" t="s">
        <v>58</v>
      </c>
      <c r="H344" s="5" t="n">
        <v>0</v>
      </c>
      <c r="I344" s="5" t="n">
        <v>0</v>
      </c>
      <c r="J344" s="5" t="n">
        <v>18</v>
      </c>
      <c r="K344" s="5" t="n">
        <v>9</v>
      </c>
      <c r="L344" s="5" t="n">
        <f aca="false">J344-K344</f>
        <v>9</v>
      </c>
      <c r="M344" s="11" t="n">
        <f aca="false">IF(J344=0,0,K344/J344)</f>
        <v>0.5</v>
      </c>
    </row>
    <row r="345" customFormat="false" ht="15" hidden="false" customHeight="false" outlineLevel="0" collapsed="false">
      <c r="A345" s="5" t="s">
        <v>686</v>
      </c>
      <c r="B345" s="5" t="s">
        <v>54</v>
      </c>
      <c r="C345" s="5" t="s">
        <v>48</v>
      </c>
      <c r="D345" s="5" t="s">
        <v>687</v>
      </c>
      <c r="E345" s="5" t="s">
        <v>56</v>
      </c>
      <c r="F345" s="5" t="s">
        <v>57</v>
      </c>
      <c r="G345" s="5" t="s">
        <v>58</v>
      </c>
      <c r="H345" s="5" t="n">
        <v>0</v>
      </c>
      <c r="I345" s="5" t="n">
        <v>0</v>
      </c>
      <c r="J345" s="5" t="n">
        <v>22</v>
      </c>
      <c r="K345" s="5" t="n">
        <v>17</v>
      </c>
      <c r="L345" s="5" t="n">
        <f aca="false">J345-K345</f>
        <v>5</v>
      </c>
      <c r="M345" s="11" t="n">
        <f aca="false">IF(J345=0,0,K345/J345)</f>
        <v>0.772727272727273</v>
      </c>
    </row>
    <row r="346" customFormat="false" ht="15" hidden="false" customHeight="false" outlineLevel="0" collapsed="false">
      <c r="A346" s="5" t="s">
        <v>688</v>
      </c>
      <c r="B346" s="5" t="s">
        <v>54</v>
      </c>
      <c r="C346" s="5" t="s">
        <v>48</v>
      </c>
      <c r="D346" s="5" t="s">
        <v>64</v>
      </c>
      <c r="E346" s="5" t="s">
        <v>689</v>
      </c>
      <c r="F346" s="5" t="s">
        <v>57</v>
      </c>
      <c r="G346" s="5" t="s">
        <v>58</v>
      </c>
      <c r="H346" s="5" t="n">
        <v>0</v>
      </c>
      <c r="I346" s="5" t="n">
        <v>0</v>
      </c>
      <c r="J346" s="5" t="n">
        <v>9</v>
      </c>
      <c r="K346" s="5" t="n">
        <v>7</v>
      </c>
      <c r="L346" s="5" t="n">
        <f aca="false">J346-K346</f>
        <v>2</v>
      </c>
      <c r="M346" s="11" t="n">
        <f aca="false">IF(J346=0,0,K346/J346)</f>
        <v>0.777777777777778</v>
      </c>
    </row>
    <row r="347" customFormat="false" ht="15" hidden="false" customHeight="false" outlineLevel="0" collapsed="false">
      <c r="A347" s="5" t="s">
        <v>690</v>
      </c>
      <c r="B347" s="5" t="s">
        <v>54</v>
      </c>
      <c r="C347" s="5" t="s">
        <v>48</v>
      </c>
      <c r="D347" s="5" t="s">
        <v>361</v>
      </c>
      <c r="E347" s="5" t="s">
        <v>491</v>
      </c>
      <c r="F347" s="5" t="s">
        <v>57</v>
      </c>
      <c r="G347" s="5" t="s">
        <v>58</v>
      </c>
      <c r="H347" s="5" t="n">
        <v>0</v>
      </c>
      <c r="I347" s="5" t="n">
        <v>0</v>
      </c>
      <c r="J347" s="5" t="n">
        <v>26</v>
      </c>
      <c r="K347" s="5" t="n">
        <v>19</v>
      </c>
      <c r="L347" s="5" t="n">
        <f aca="false">J347-K347</f>
        <v>7</v>
      </c>
      <c r="M347" s="11" t="n">
        <f aca="false">IF(J347=0,0,K347/J347)</f>
        <v>0.730769230769231</v>
      </c>
    </row>
    <row r="348" customFormat="false" ht="15" hidden="false" customHeight="false" outlineLevel="0" collapsed="false">
      <c r="A348" s="5" t="s">
        <v>691</v>
      </c>
      <c r="B348" s="5" t="s">
        <v>54</v>
      </c>
      <c r="C348" s="5" t="s">
        <v>48</v>
      </c>
      <c r="D348" s="5" t="s">
        <v>64</v>
      </c>
      <c r="E348" s="5" t="s">
        <v>692</v>
      </c>
      <c r="F348" s="5" t="s">
        <v>57</v>
      </c>
      <c r="G348" s="5" t="s">
        <v>58</v>
      </c>
      <c r="H348" s="5" t="n">
        <v>0</v>
      </c>
      <c r="I348" s="5" t="n">
        <v>0</v>
      </c>
      <c r="J348" s="5" t="n">
        <v>14</v>
      </c>
      <c r="K348" s="5" t="n">
        <v>13</v>
      </c>
      <c r="L348" s="5" t="n">
        <f aca="false">J348-K348</f>
        <v>1</v>
      </c>
      <c r="M348" s="11" t="n">
        <f aca="false">IF(J348=0,0,K348/J348)</f>
        <v>0.928571428571429</v>
      </c>
    </row>
    <row r="349" customFormat="false" ht="15" hidden="false" customHeight="false" outlineLevel="0" collapsed="false">
      <c r="A349" s="5" t="s">
        <v>693</v>
      </c>
      <c r="B349" s="5" t="s">
        <v>662</v>
      </c>
      <c r="C349" s="5" t="s">
        <v>48</v>
      </c>
      <c r="D349" s="5" t="s">
        <v>82</v>
      </c>
      <c r="E349" s="5" t="s">
        <v>56</v>
      </c>
      <c r="F349" s="5" t="s">
        <v>51</v>
      </c>
      <c r="G349" s="5" t="s">
        <v>52</v>
      </c>
      <c r="H349" s="5" t="n">
        <v>7</v>
      </c>
      <c r="I349" s="5" t="n">
        <v>7</v>
      </c>
      <c r="J349" s="5" t="n">
        <v>7</v>
      </c>
      <c r="K349" s="5" t="n">
        <v>7</v>
      </c>
      <c r="L349" s="5" t="n">
        <f aca="false">J349-K349</f>
        <v>0</v>
      </c>
      <c r="M349" s="11" t="n">
        <f aca="false">IF(J349=0,0,K349/J349)</f>
        <v>1</v>
      </c>
    </row>
    <row r="350" customFormat="false" ht="15" hidden="false" customHeight="false" outlineLevel="0" collapsed="false">
      <c r="A350" s="5" t="s">
        <v>694</v>
      </c>
      <c r="B350" s="5" t="s">
        <v>54</v>
      </c>
      <c r="C350" s="5" t="s">
        <v>48</v>
      </c>
      <c r="D350" s="5" t="s">
        <v>64</v>
      </c>
      <c r="E350" s="5" t="s">
        <v>617</v>
      </c>
      <c r="F350" s="5" t="s">
        <v>57</v>
      </c>
      <c r="G350" s="5" t="s">
        <v>58</v>
      </c>
      <c r="H350" s="5" t="n">
        <v>0</v>
      </c>
      <c r="I350" s="5" t="n">
        <v>0</v>
      </c>
      <c r="J350" s="5" t="n">
        <v>11</v>
      </c>
      <c r="K350" s="5" t="n">
        <v>9</v>
      </c>
      <c r="L350" s="5" t="n">
        <f aca="false">J350-K350</f>
        <v>2</v>
      </c>
      <c r="M350" s="11" t="n">
        <f aca="false">IF(J350=0,0,K350/J350)</f>
        <v>0.818181818181818</v>
      </c>
    </row>
    <row r="351" customFormat="false" ht="15" hidden="false" customHeight="false" outlineLevel="0" collapsed="false">
      <c r="A351" s="5" t="s">
        <v>695</v>
      </c>
      <c r="B351" s="5" t="s">
        <v>54</v>
      </c>
      <c r="C351" s="5" t="s">
        <v>48</v>
      </c>
      <c r="D351" s="5" t="s">
        <v>64</v>
      </c>
      <c r="E351" s="5" t="s">
        <v>617</v>
      </c>
      <c r="F351" s="5" t="s">
        <v>57</v>
      </c>
      <c r="G351" s="5" t="s">
        <v>58</v>
      </c>
      <c r="H351" s="5" t="n">
        <v>0</v>
      </c>
      <c r="I351" s="5" t="n">
        <v>0</v>
      </c>
      <c r="J351" s="5" t="n">
        <v>11</v>
      </c>
      <c r="K351" s="5" t="n">
        <v>9</v>
      </c>
      <c r="L351" s="5" t="n">
        <f aca="false">J351-K351</f>
        <v>2</v>
      </c>
      <c r="M351" s="11" t="n">
        <f aca="false">IF(J351=0,0,K351/J351)</f>
        <v>0.818181818181818</v>
      </c>
    </row>
    <row r="352" customFormat="false" ht="15" hidden="false" customHeight="false" outlineLevel="0" collapsed="false">
      <c r="A352" s="5" t="s">
        <v>696</v>
      </c>
      <c r="B352" s="5" t="s">
        <v>54</v>
      </c>
      <c r="C352" s="5" t="s">
        <v>48</v>
      </c>
      <c r="D352" s="5" t="s">
        <v>361</v>
      </c>
      <c r="E352" s="5" t="s">
        <v>697</v>
      </c>
      <c r="F352" s="5" t="s">
        <v>57</v>
      </c>
      <c r="G352" s="5" t="s">
        <v>58</v>
      </c>
      <c r="H352" s="5" t="n">
        <v>0</v>
      </c>
      <c r="I352" s="5" t="n">
        <v>0</v>
      </c>
      <c r="J352" s="5" t="n">
        <v>14</v>
      </c>
      <c r="K352" s="5" t="n">
        <v>13</v>
      </c>
      <c r="L352" s="5" t="n">
        <f aca="false">J352-K352</f>
        <v>1</v>
      </c>
      <c r="M352" s="11" t="n">
        <f aca="false">IF(J352=0,0,K352/J352)</f>
        <v>0.928571428571429</v>
      </c>
    </row>
    <row r="353" customFormat="false" ht="15" hidden="false" customHeight="false" outlineLevel="0" collapsed="false">
      <c r="A353" s="5" t="s">
        <v>698</v>
      </c>
      <c r="B353" s="5" t="s">
        <v>60</v>
      </c>
      <c r="C353" s="5" t="s">
        <v>48</v>
      </c>
      <c r="D353" s="5" t="s">
        <v>56</v>
      </c>
      <c r="E353" s="5" t="s">
        <v>699</v>
      </c>
      <c r="F353" s="5" t="s">
        <v>57</v>
      </c>
      <c r="G353" s="5" t="s">
        <v>58</v>
      </c>
      <c r="H353" s="5" t="n">
        <v>0</v>
      </c>
      <c r="I353" s="5" t="n">
        <v>0</v>
      </c>
      <c r="J353" s="5" t="n">
        <v>36</v>
      </c>
      <c r="K353" s="5" t="n">
        <v>12</v>
      </c>
      <c r="L353" s="5" t="n">
        <f aca="false">J353-K353</f>
        <v>24</v>
      </c>
      <c r="M353" s="11" t="n">
        <f aca="false">IF(J353=0,0,K353/J353)</f>
        <v>0.333333333333333</v>
      </c>
    </row>
    <row r="354" customFormat="false" ht="15" hidden="false" customHeight="false" outlineLevel="0" collapsed="false">
      <c r="A354" s="5" t="s">
        <v>700</v>
      </c>
      <c r="B354" s="5" t="s">
        <v>54</v>
      </c>
      <c r="C354" s="5" t="s">
        <v>48</v>
      </c>
      <c r="D354" s="5" t="s">
        <v>56</v>
      </c>
      <c r="E354" s="5" t="s">
        <v>701</v>
      </c>
      <c r="F354" s="5" t="s">
        <v>57</v>
      </c>
      <c r="G354" s="5" t="s">
        <v>58</v>
      </c>
      <c r="H354" s="5" t="n">
        <v>0</v>
      </c>
      <c r="I354" s="5" t="n">
        <v>0</v>
      </c>
      <c r="J354" s="5" t="n">
        <v>24</v>
      </c>
      <c r="K354" s="5" t="n">
        <v>15</v>
      </c>
      <c r="L354" s="5" t="n">
        <f aca="false">J354-K354</f>
        <v>9</v>
      </c>
      <c r="M354" s="11" t="n">
        <f aca="false">IF(J354=0,0,K354/J354)</f>
        <v>0.625</v>
      </c>
    </row>
    <row r="355" customFormat="false" ht="15" hidden="false" customHeight="false" outlineLevel="0" collapsed="false">
      <c r="A355" s="5" t="s">
        <v>702</v>
      </c>
      <c r="B355" s="5" t="s">
        <v>54</v>
      </c>
      <c r="C355" s="5" t="s">
        <v>48</v>
      </c>
      <c r="D355" s="5" t="s">
        <v>64</v>
      </c>
      <c r="E355" s="5" t="s">
        <v>703</v>
      </c>
      <c r="F355" s="5" t="s">
        <v>57</v>
      </c>
      <c r="G355" s="5" t="s">
        <v>58</v>
      </c>
      <c r="H355" s="5" t="n">
        <v>0</v>
      </c>
      <c r="I355" s="5" t="n">
        <v>0</v>
      </c>
      <c r="J355" s="5" t="n">
        <v>8</v>
      </c>
      <c r="K355" s="5" t="n">
        <v>7</v>
      </c>
      <c r="L355" s="5" t="n">
        <f aca="false">J355-K355</f>
        <v>1</v>
      </c>
      <c r="M355" s="11" t="n">
        <f aca="false">IF(J355=0,0,K355/J355)</f>
        <v>0.875</v>
      </c>
    </row>
    <row r="356" customFormat="false" ht="15" hidden="false" customHeight="false" outlineLevel="0" collapsed="false">
      <c r="A356" s="5" t="s">
        <v>704</v>
      </c>
      <c r="B356" s="5" t="s">
        <v>54</v>
      </c>
      <c r="C356" s="5" t="s">
        <v>48</v>
      </c>
      <c r="D356" s="5" t="s">
        <v>462</v>
      </c>
      <c r="E356" s="5" t="s">
        <v>617</v>
      </c>
      <c r="F356" s="5" t="s">
        <v>57</v>
      </c>
      <c r="G356" s="5" t="s">
        <v>58</v>
      </c>
      <c r="H356" s="5" t="n">
        <v>0</v>
      </c>
      <c r="I356" s="5" t="n">
        <v>0</v>
      </c>
      <c r="J356" s="5" t="n">
        <v>13</v>
      </c>
      <c r="K356" s="5" t="n">
        <v>10</v>
      </c>
      <c r="L356" s="5" t="n">
        <f aca="false">J356-K356</f>
        <v>3</v>
      </c>
      <c r="M356" s="11" t="n">
        <f aca="false">IF(J356=0,0,K356/J356)</f>
        <v>0.769230769230769</v>
      </c>
    </row>
    <row r="357" customFormat="false" ht="15" hidden="false" customHeight="false" outlineLevel="0" collapsed="false">
      <c r="A357" s="5" t="s">
        <v>705</v>
      </c>
      <c r="B357" s="5" t="s">
        <v>54</v>
      </c>
      <c r="C357" s="5" t="s">
        <v>48</v>
      </c>
      <c r="D357" s="5" t="s">
        <v>206</v>
      </c>
      <c r="E357" s="5" t="s">
        <v>617</v>
      </c>
      <c r="F357" s="5" t="s">
        <v>57</v>
      </c>
      <c r="G357" s="5" t="s">
        <v>58</v>
      </c>
      <c r="H357" s="5" t="n">
        <v>0</v>
      </c>
      <c r="I357" s="5" t="n">
        <v>0</v>
      </c>
      <c r="J357" s="5" t="n">
        <v>16</v>
      </c>
      <c r="K357" s="5" t="n">
        <v>14</v>
      </c>
      <c r="L357" s="5" t="n">
        <f aca="false">J357-K357</f>
        <v>2</v>
      </c>
      <c r="M357" s="11" t="n">
        <f aca="false">IF(J357=0,0,K357/J357)</f>
        <v>0.875</v>
      </c>
    </row>
    <row r="358" customFormat="false" ht="15" hidden="false" customHeight="false" outlineLevel="0" collapsed="false">
      <c r="A358" s="5" t="s">
        <v>706</v>
      </c>
      <c r="B358" s="5" t="s">
        <v>54</v>
      </c>
      <c r="C358" s="5" t="s">
        <v>48</v>
      </c>
      <c r="D358" s="5" t="s">
        <v>56</v>
      </c>
      <c r="E358" s="5" t="s">
        <v>707</v>
      </c>
      <c r="F358" s="5" t="s">
        <v>57</v>
      </c>
      <c r="G358" s="5" t="s">
        <v>58</v>
      </c>
      <c r="H358" s="5" t="n">
        <v>0</v>
      </c>
      <c r="I358" s="5" t="n">
        <v>0</v>
      </c>
      <c r="J358" s="5" t="n">
        <v>15</v>
      </c>
      <c r="K358" s="5" t="n">
        <v>14</v>
      </c>
      <c r="L358" s="5" t="n">
        <f aca="false">J358-K358</f>
        <v>1</v>
      </c>
      <c r="M358" s="11" t="n">
        <f aca="false">IF(J358=0,0,K358/J358)</f>
        <v>0.933333333333333</v>
      </c>
    </row>
    <row r="359" customFormat="false" ht="15" hidden="false" customHeight="false" outlineLevel="0" collapsed="false">
      <c r="A359" s="5" t="s">
        <v>708</v>
      </c>
      <c r="B359" s="5" t="s">
        <v>54</v>
      </c>
      <c r="C359" s="5" t="s">
        <v>48</v>
      </c>
      <c r="D359" s="5" t="s">
        <v>64</v>
      </c>
      <c r="E359" s="5" t="s">
        <v>709</v>
      </c>
      <c r="F359" s="5" t="s">
        <v>57</v>
      </c>
      <c r="G359" s="5" t="s">
        <v>58</v>
      </c>
      <c r="H359" s="5" t="n">
        <v>0</v>
      </c>
      <c r="I359" s="5" t="n">
        <v>0</v>
      </c>
      <c r="J359" s="5" t="n">
        <v>10</v>
      </c>
      <c r="K359" s="5" t="n">
        <v>7</v>
      </c>
      <c r="L359" s="5" t="n">
        <f aca="false">J359-K359</f>
        <v>3</v>
      </c>
      <c r="M359" s="11" t="n">
        <f aca="false">IF(J359=0,0,K359/J359)</f>
        <v>0.7</v>
      </c>
    </row>
    <row r="360" customFormat="false" ht="15" hidden="false" customHeight="false" outlineLevel="0" collapsed="false">
      <c r="A360" s="5" t="s">
        <v>710</v>
      </c>
      <c r="B360" s="5" t="s">
        <v>54</v>
      </c>
      <c r="C360" s="5" t="s">
        <v>48</v>
      </c>
      <c r="D360" s="5" t="s">
        <v>361</v>
      </c>
      <c r="E360" s="5" t="s">
        <v>711</v>
      </c>
      <c r="F360" s="5" t="s">
        <v>57</v>
      </c>
      <c r="G360" s="5" t="s">
        <v>58</v>
      </c>
      <c r="H360" s="5" t="n">
        <v>0</v>
      </c>
      <c r="I360" s="5" t="n">
        <v>0</v>
      </c>
      <c r="J360" s="5" t="n">
        <v>13</v>
      </c>
      <c r="K360" s="5" t="n">
        <v>11</v>
      </c>
      <c r="L360" s="5" t="n">
        <f aca="false">J360-K360</f>
        <v>2</v>
      </c>
      <c r="M360" s="11" t="n">
        <f aca="false">IF(J360=0,0,K360/J360)</f>
        <v>0.846153846153846</v>
      </c>
    </row>
    <row r="361" customFormat="false" ht="15" hidden="false" customHeight="false" outlineLevel="0" collapsed="false">
      <c r="A361" s="5" t="s">
        <v>712</v>
      </c>
      <c r="B361" s="5" t="s">
        <v>60</v>
      </c>
      <c r="C361" s="5" t="s">
        <v>48</v>
      </c>
      <c r="D361" s="5" t="s">
        <v>56</v>
      </c>
      <c r="E361" s="5" t="s">
        <v>713</v>
      </c>
      <c r="F361" s="5" t="s">
        <v>57</v>
      </c>
      <c r="G361" s="5" t="s">
        <v>58</v>
      </c>
      <c r="H361" s="5" t="n">
        <v>0</v>
      </c>
      <c r="I361" s="5" t="n">
        <v>0</v>
      </c>
      <c r="J361" s="5" t="n">
        <v>24</v>
      </c>
      <c r="K361" s="5" t="n">
        <v>11</v>
      </c>
      <c r="L361" s="5" t="n">
        <f aca="false">J361-K361</f>
        <v>13</v>
      </c>
      <c r="M361" s="11" t="n">
        <f aca="false">IF(J361=0,0,K361/J361)</f>
        <v>0.458333333333333</v>
      </c>
    </row>
    <row r="362" customFormat="false" ht="15" hidden="false" customHeight="false" outlineLevel="0" collapsed="false">
      <c r="A362" s="5" t="s">
        <v>714</v>
      </c>
      <c r="B362" s="5" t="s">
        <v>54</v>
      </c>
      <c r="C362" s="5" t="s">
        <v>48</v>
      </c>
      <c r="D362" s="5" t="s">
        <v>715</v>
      </c>
      <c r="E362" s="5" t="s">
        <v>617</v>
      </c>
      <c r="F362" s="5" t="s">
        <v>57</v>
      </c>
      <c r="G362" s="5" t="s">
        <v>58</v>
      </c>
      <c r="H362" s="5" t="n">
        <v>0</v>
      </c>
      <c r="I362" s="5" t="n">
        <v>0</v>
      </c>
      <c r="J362" s="5" t="n">
        <v>15</v>
      </c>
      <c r="K362" s="5" t="n">
        <v>12</v>
      </c>
      <c r="L362" s="5" t="n">
        <f aca="false">J362-K362</f>
        <v>3</v>
      </c>
      <c r="M362" s="11" t="n">
        <f aca="false">IF(J362=0,0,K362/J362)</f>
        <v>0.8</v>
      </c>
    </row>
    <row r="363" customFormat="false" ht="15" hidden="false" customHeight="false" outlineLevel="0" collapsed="false">
      <c r="A363" s="5" t="s">
        <v>716</v>
      </c>
      <c r="B363" s="5" t="s">
        <v>54</v>
      </c>
      <c r="C363" s="5" t="s">
        <v>48</v>
      </c>
      <c r="D363" s="5" t="s">
        <v>193</v>
      </c>
      <c r="E363" s="5" t="s">
        <v>617</v>
      </c>
      <c r="F363" s="5" t="s">
        <v>57</v>
      </c>
      <c r="G363" s="5" t="s">
        <v>58</v>
      </c>
      <c r="H363" s="5" t="n">
        <v>0</v>
      </c>
      <c r="I363" s="5" t="n">
        <v>0</v>
      </c>
      <c r="J363" s="5" t="n">
        <v>16</v>
      </c>
      <c r="K363" s="5" t="n">
        <v>13</v>
      </c>
      <c r="L363" s="5" t="n">
        <f aca="false">J363-K363</f>
        <v>3</v>
      </c>
      <c r="M363" s="11" t="n">
        <f aca="false">IF(J363=0,0,K363/J363)</f>
        <v>0.8125</v>
      </c>
    </row>
    <row r="364" customFormat="false" ht="15" hidden="false" customHeight="false" outlineLevel="0" collapsed="false">
      <c r="A364" s="5" t="s">
        <v>717</v>
      </c>
      <c r="B364" s="5" t="s">
        <v>54</v>
      </c>
      <c r="C364" s="5" t="s">
        <v>48</v>
      </c>
      <c r="D364" s="5" t="s">
        <v>586</v>
      </c>
      <c r="E364" s="5" t="s">
        <v>617</v>
      </c>
      <c r="F364" s="5" t="s">
        <v>57</v>
      </c>
      <c r="G364" s="5" t="s">
        <v>58</v>
      </c>
      <c r="H364" s="5" t="n">
        <v>0</v>
      </c>
      <c r="I364" s="5" t="n">
        <v>0</v>
      </c>
      <c r="J364" s="5" t="n">
        <v>17</v>
      </c>
      <c r="K364" s="5" t="n">
        <v>15</v>
      </c>
      <c r="L364" s="5" t="n">
        <f aca="false">J364-K364</f>
        <v>2</v>
      </c>
      <c r="M364" s="11" t="n">
        <f aca="false">IF(J364=0,0,K364/J364)</f>
        <v>0.882352941176471</v>
      </c>
    </row>
    <row r="365" customFormat="false" ht="15" hidden="false" customHeight="false" outlineLevel="0" collapsed="false">
      <c r="A365" s="5" t="s">
        <v>718</v>
      </c>
      <c r="B365" s="5" t="s">
        <v>54</v>
      </c>
      <c r="C365" s="5" t="s">
        <v>48</v>
      </c>
      <c r="D365" s="5" t="s">
        <v>64</v>
      </c>
      <c r="E365" s="5" t="s">
        <v>719</v>
      </c>
      <c r="F365" s="5" t="s">
        <v>57</v>
      </c>
      <c r="G365" s="5" t="s">
        <v>58</v>
      </c>
      <c r="H365" s="5" t="n">
        <v>0</v>
      </c>
      <c r="I365" s="5" t="n">
        <v>0</v>
      </c>
      <c r="J365" s="5" t="n">
        <v>19</v>
      </c>
      <c r="K365" s="5" t="n">
        <v>15</v>
      </c>
      <c r="L365" s="5" t="n">
        <f aca="false">J365-K365</f>
        <v>4</v>
      </c>
      <c r="M365" s="11" t="n">
        <f aca="false">IF(J365=0,0,K365/J365)</f>
        <v>0.789473684210526</v>
      </c>
    </row>
    <row r="366" customFormat="false" ht="15" hidden="false" customHeight="false" outlineLevel="0" collapsed="false">
      <c r="A366" s="5" t="s">
        <v>720</v>
      </c>
      <c r="B366" s="5" t="s">
        <v>54</v>
      </c>
      <c r="C366" s="5" t="s">
        <v>48</v>
      </c>
      <c r="D366" s="5" t="s">
        <v>362</v>
      </c>
      <c r="E366" s="5" t="s">
        <v>617</v>
      </c>
      <c r="F366" s="5" t="s">
        <v>57</v>
      </c>
      <c r="G366" s="5" t="s">
        <v>58</v>
      </c>
      <c r="H366" s="5" t="n">
        <v>0</v>
      </c>
      <c r="I366" s="5" t="n">
        <v>0</v>
      </c>
      <c r="J366" s="5" t="n">
        <v>16</v>
      </c>
      <c r="K366" s="5" t="n">
        <v>14</v>
      </c>
      <c r="L366" s="5" t="n">
        <f aca="false">J366-K366</f>
        <v>2</v>
      </c>
      <c r="M366" s="11" t="n">
        <f aca="false">IF(J366=0,0,K366/J366)</f>
        <v>0.875</v>
      </c>
    </row>
    <row r="367" customFormat="false" ht="15" hidden="false" customHeight="false" outlineLevel="0" collapsed="false">
      <c r="A367" s="5" t="s">
        <v>721</v>
      </c>
      <c r="B367" s="5" t="s">
        <v>54</v>
      </c>
      <c r="C367" s="5" t="s">
        <v>48</v>
      </c>
      <c r="D367" s="5" t="s">
        <v>64</v>
      </c>
      <c r="E367" s="5" t="s">
        <v>346</v>
      </c>
      <c r="F367" s="5" t="s">
        <v>57</v>
      </c>
      <c r="G367" s="5" t="s">
        <v>58</v>
      </c>
      <c r="H367" s="5" t="n">
        <v>0</v>
      </c>
      <c r="I367" s="5" t="n">
        <v>0</v>
      </c>
      <c r="J367" s="5" t="n">
        <v>7</v>
      </c>
      <c r="K367" s="5" t="n">
        <v>6</v>
      </c>
      <c r="L367" s="5" t="n">
        <f aca="false">J367-K367</f>
        <v>1</v>
      </c>
      <c r="M367" s="11" t="n">
        <f aca="false">IF(J367=0,0,K367/J367)</f>
        <v>0.857142857142857</v>
      </c>
    </row>
    <row r="368" customFormat="false" ht="15" hidden="false" customHeight="false" outlineLevel="0" collapsed="false">
      <c r="A368" s="5" t="s">
        <v>722</v>
      </c>
      <c r="B368" s="5" t="s">
        <v>54</v>
      </c>
      <c r="C368" s="5" t="s">
        <v>48</v>
      </c>
      <c r="D368" s="5" t="s">
        <v>361</v>
      </c>
      <c r="E368" s="5" t="s">
        <v>723</v>
      </c>
      <c r="F368" s="5" t="s">
        <v>57</v>
      </c>
      <c r="G368" s="5" t="s">
        <v>58</v>
      </c>
      <c r="H368" s="5" t="n">
        <v>0</v>
      </c>
      <c r="I368" s="5" t="n">
        <v>0</v>
      </c>
      <c r="J368" s="5" t="n">
        <v>29</v>
      </c>
      <c r="K368" s="5" t="n">
        <v>28</v>
      </c>
      <c r="L368" s="5" t="n">
        <f aca="false">J368-K368</f>
        <v>1</v>
      </c>
      <c r="M368" s="11" t="n">
        <f aca="false">IF(J368=0,0,K368/J368)</f>
        <v>0.96551724137931</v>
      </c>
    </row>
    <row r="369" customFormat="false" ht="15" hidden="false" customHeight="false" outlineLevel="0" collapsed="false">
      <c r="A369" s="5" t="s">
        <v>724</v>
      </c>
      <c r="B369" s="5" t="s">
        <v>54</v>
      </c>
      <c r="C369" s="5" t="s">
        <v>48</v>
      </c>
      <c r="D369" s="5" t="s">
        <v>64</v>
      </c>
      <c r="E369" s="5" t="s">
        <v>725</v>
      </c>
      <c r="F369" s="5" t="s">
        <v>57</v>
      </c>
      <c r="G369" s="5" t="s">
        <v>58</v>
      </c>
      <c r="H369" s="5" t="n">
        <v>0</v>
      </c>
      <c r="I369" s="5" t="n">
        <v>0</v>
      </c>
      <c r="J369" s="5" t="n">
        <v>16</v>
      </c>
      <c r="K369" s="5" t="n">
        <v>8</v>
      </c>
      <c r="L369" s="5" t="n">
        <f aca="false">J369-K369</f>
        <v>8</v>
      </c>
      <c r="M369" s="11" t="n">
        <f aca="false">IF(J369=0,0,K369/J369)</f>
        <v>0.5</v>
      </c>
    </row>
    <row r="370" customFormat="false" ht="15" hidden="false" customHeight="false" outlineLevel="0" collapsed="false">
      <c r="A370" s="5" t="s">
        <v>726</v>
      </c>
      <c r="B370" s="5" t="s">
        <v>54</v>
      </c>
      <c r="C370" s="5" t="s">
        <v>48</v>
      </c>
      <c r="D370" s="5" t="s">
        <v>361</v>
      </c>
      <c r="E370" s="5" t="s">
        <v>727</v>
      </c>
      <c r="F370" s="5" t="s">
        <v>57</v>
      </c>
      <c r="G370" s="5" t="s">
        <v>58</v>
      </c>
      <c r="H370" s="5" t="n">
        <v>0</v>
      </c>
      <c r="I370" s="5" t="n">
        <v>0</v>
      </c>
      <c r="J370" s="5" t="n">
        <v>21</v>
      </c>
      <c r="K370" s="5" t="n">
        <v>11</v>
      </c>
      <c r="L370" s="5" t="n">
        <f aca="false">J370-K370</f>
        <v>10</v>
      </c>
      <c r="M370" s="11" t="n">
        <f aca="false">IF(J370=0,0,K370/J370)</f>
        <v>0.523809523809524</v>
      </c>
    </row>
    <row r="371" customFormat="false" ht="15" hidden="false" customHeight="false" outlineLevel="0" collapsed="false">
      <c r="A371" s="5" t="s">
        <v>728</v>
      </c>
      <c r="B371" s="5" t="s">
        <v>54</v>
      </c>
      <c r="C371" s="5" t="s">
        <v>48</v>
      </c>
      <c r="D371" s="5" t="s">
        <v>361</v>
      </c>
      <c r="E371" s="5" t="s">
        <v>729</v>
      </c>
      <c r="F371" s="5" t="s">
        <v>57</v>
      </c>
      <c r="G371" s="5" t="s">
        <v>58</v>
      </c>
      <c r="H371" s="5" t="n">
        <v>0</v>
      </c>
      <c r="I371" s="5" t="n">
        <v>0</v>
      </c>
      <c r="J371" s="5" t="n">
        <v>22</v>
      </c>
      <c r="K371" s="5" t="n">
        <v>17</v>
      </c>
      <c r="L371" s="5" t="n">
        <f aca="false">J371-K371</f>
        <v>5</v>
      </c>
      <c r="M371" s="11" t="n">
        <f aca="false">IF(J371=0,0,K371/J371)</f>
        <v>0.772727272727273</v>
      </c>
    </row>
    <row r="372" customFormat="false" ht="15" hidden="false" customHeight="false" outlineLevel="0" collapsed="false">
      <c r="A372" s="5" t="s">
        <v>730</v>
      </c>
      <c r="B372" s="5" t="s">
        <v>54</v>
      </c>
      <c r="C372" s="5" t="s">
        <v>48</v>
      </c>
      <c r="D372" s="5" t="s">
        <v>361</v>
      </c>
      <c r="E372" s="5" t="s">
        <v>731</v>
      </c>
      <c r="F372" s="5" t="s">
        <v>57</v>
      </c>
      <c r="G372" s="5" t="s">
        <v>58</v>
      </c>
      <c r="H372" s="5" t="n">
        <v>0</v>
      </c>
      <c r="I372" s="5" t="n">
        <v>0</v>
      </c>
      <c r="J372" s="5" t="n">
        <v>21</v>
      </c>
      <c r="K372" s="5" t="n">
        <v>21</v>
      </c>
      <c r="L372" s="5" t="n">
        <f aca="false">J372-K372</f>
        <v>0</v>
      </c>
      <c r="M372" s="11" t="n">
        <f aca="false">IF(J372=0,0,K372/J372)</f>
        <v>1</v>
      </c>
    </row>
    <row r="373" customFormat="false" ht="15" hidden="false" customHeight="false" outlineLevel="0" collapsed="false">
      <c r="A373" s="5" t="s">
        <v>732</v>
      </c>
      <c r="B373" s="5" t="s">
        <v>54</v>
      </c>
      <c r="C373" s="5" t="s">
        <v>48</v>
      </c>
      <c r="D373" s="5" t="s">
        <v>64</v>
      </c>
      <c r="E373" s="5" t="s">
        <v>337</v>
      </c>
      <c r="F373" s="5" t="s">
        <v>57</v>
      </c>
      <c r="G373" s="5" t="s">
        <v>58</v>
      </c>
      <c r="H373" s="5" t="n">
        <v>0</v>
      </c>
      <c r="I373" s="5" t="n">
        <v>0</v>
      </c>
      <c r="J373" s="5" t="n">
        <v>9</v>
      </c>
      <c r="K373" s="5" t="n">
        <v>7</v>
      </c>
      <c r="L373" s="5" t="n">
        <f aca="false">J373-K373</f>
        <v>2</v>
      </c>
      <c r="M373" s="11" t="n">
        <f aca="false">IF(J373=0,0,K373/J373)</f>
        <v>0.777777777777778</v>
      </c>
    </row>
    <row r="374" customFormat="false" ht="15" hidden="false" customHeight="false" outlineLevel="0" collapsed="false">
      <c r="A374" s="5" t="s">
        <v>733</v>
      </c>
      <c r="B374" s="5" t="s">
        <v>54</v>
      </c>
      <c r="C374" s="5" t="s">
        <v>48</v>
      </c>
      <c r="D374" s="5" t="s">
        <v>361</v>
      </c>
      <c r="E374" s="5" t="s">
        <v>734</v>
      </c>
      <c r="F374" s="5" t="s">
        <v>57</v>
      </c>
      <c r="G374" s="5" t="s">
        <v>58</v>
      </c>
      <c r="H374" s="5" t="n">
        <v>0</v>
      </c>
      <c r="I374" s="5" t="n">
        <v>0</v>
      </c>
      <c r="J374" s="5" t="n">
        <v>22</v>
      </c>
      <c r="K374" s="5" t="n">
        <v>15</v>
      </c>
      <c r="L374" s="5" t="n">
        <f aca="false">J374-K374</f>
        <v>7</v>
      </c>
      <c r="M374" s="11" t="n">
        <f aca="false">IF(J374=0,0,K374/J374)</f>
        <v>0.681818181818182</v>
      </c>
    </row>
    <row r="375" customFormat="false" ht="15" hidden="false" customHeight="false" outlineLevel="0" collapsed="false">
      <c r="A375" s="5" t="s">
        <v>735</v>
      </c>
      <c r="B375" s="5" t="s">
        <v>54</v>
      </c>
      <c r="C375" s="5" t="s">
        <v>48</v>
      </c>
      <c r="D375" s="5" t="s">
        <v>64</v>
      </c>
      <c r="E375" s="5" t="s">
        <v>736</v>
      </c>
      <c r="F375" s="5" t="s">
        <v>57</v>
      </c>
      <c r="G375" s="5" t="s">
        <v>58</v>
      </c>
      <c r="H375" s="5" t="n">
        <v>0</v>
      </c>
      <c r="I375" s="5" t="n">
        <v>0</v>
      </c>
      <c r="J375" s="5" t="n">
        <v>8</v>
      </c>
      <c r="K375" s="5" t="n">
        <v>6</v>
      </c>
      <c r="L375" s="5" t="n">
        <f aca="false">J375-K375</f>
        <v>2</v>
      </c>
      <c r="M375" s="11" t="n">
        <f aca="false">IF(J375=0,0,K375/J375)</f>
        <v>0.75</v>
      </c>
    </row>
    <row r="376" customFormat="false" ht="15" hidden="false" customHeight="false" outlineLevel="0" collapsed="false">
      <c r="A376" s="5" t="s">
        <v>737</v>
      </c>
      <c r="B376" s="5" t="s">
        <v>54</v>
      </c>
      <c r="C376" s="5" t="s">
        <v>48</v>
      </c>
      <c r="D376" s="5" t="s">
        <v>64</v>
      </c>
      <c r="E376" s="5" t="s">
        <v>666</v>
      </c>
      <c r="F376" s="5" t="s">
        <v>57</v>
      </c>
      <c r="G376" s="5" t="s">
        <v>58</v>
      </c>
      <c r="H376" s="5" t="n">
        <v>0</v>
      </c>
      <c r="I376" s="5" t="n">
        <v>0</v>
      </c>
      <c r="J376" s="5" t="n">
        <v>9</v>
      </c>
      <c r="K376" s="5" t="n">
        <v>7</v>
      </c>
      <c r="L376" s="5" t="n">
        <f aca="false">J376-K376</f>
        <v>2</v>
      </c>
      <c r="M376" s="11" t="n">
        <f aca="false">IF(J376=0,0,K376/J376)</f>
        <v>0.777777777777778</v>
      </c>
    </row>
    <row r="377" customFormat="false" ht="15" hidden="false" customHeight="false" outlineLevel="0" collapsed="false">
      <c r="A377" s="5" t="s">
        <v>738</v>
      </c>
      <c r="B377" s="5" t="s">
        <v>54</v>
      </c>
      <c r="C377" s="5" t="s">
        <v>48</v>
      </c>
      <c r="D377" s="5" t="s">
        <v>56</v>
      </c>
      <c r="E377" s="5" t="s">
        <v>354</v>
      </c>
      <c r="F377" s="5" t="s">
        <v>57</v>
      </c>
      <c r="G377" s="5" t="s">
        <v>58</v>
      </c>
      <c r="H377" s="5" t="n">
        <v>0</v>
      </c>
      <c r="I377" s="5" t="n">
        <v>0</v>
      </c>
      <c r="J377" s="5" t="n">
        <v>14</v>
      </c>
      <c r="K377" s="5" t="n">
        <v>12</v>
      </c>
      <c r="L377" s="5" t="n">
        <f aca="false">J377-K377</f>
        <v>2</v>
      </c>
      <c r="M377" s="11" t="n">
        <f aca="false">IF(J377=0,0,K377/J377)</f>
        <v>0.857142857142857</v>
      </c>
    </row>
    <row r="378" customFormat="false" ht="15" hidden="false" customHeight="false" outlineLevel="0" collapsed="false">
      <c r="A378" s="5" t="s">
        <v>739</v>
      </c>
      <c r="B378" s="5" t="s">
        <v>54</v>
      </c>
      <c r="C378" s="5" t="s">
        <v>48</v>
      </c>
      <c r="D378" s="5" t="s">
        <v>64</v>
      </c>
      <c r="E378" s="5" t="s">
        <v>740</v>
      </c>
      <c r="F378" s="5" t="s">
        <v>57</v>
      </c>
      <c r="G378" s="5" t="s">
        <v>58</v>
      </c>
      <c r="H378" s="5" t="n">
        <v>0</v>
      </c>
      <c r="I378" s="5" t="n">
        <v>0</v>
      </c>
      <c r="J378" s="5" t="n">
        <v>16</v>
      </c>
      <c r="K378" s="5" t="n">
        <v>12</v>
      </c>
      <c r="L378" s="5" t="n">
        <f aca="false">J378-K378</f>
        <v>4</v>
      </c>
      <c r="M378" s="11" t="n">
        <f aca="false">IF(J378=0,0,K378/J378)</f>
        <v>0.75</v>
      </c>
    </row>
    <row r="379" customFormat="false" ht="15" hidden="false" customHeight="false" outlineLevel="0" collapsed="false">
      <c r="A379" s="5" t="s">
        <v>741</v>
      </c>
      <c r="B379" s="5" t="s">
        <v>54</v>
      </c>
      <c r="C379" s="5" t="s">
        <v>48</v>
      </c>
      <c r="D379" s="5" t="s">
        <v>193</v>
      </c>
      <c r="E379" s="5" t="s">
        <v>173</v>
      </c>
      <c r="F379" s="5" t="s">
        <v>57</v>
      </c>
      <c r="G379" s="5" t="s">
        <v>58</v>
      </c>
      <c r="H379" s="5" t="n">
        <v>0</v>
      </c>
      <c r="I379" s="5" t="n">
        <v>0</v>
      </c>
      <c r="J379" s="5" t="n">
        <v>24</v>
      </c>
      <c r="K379" s="5" t="n">
        <v>16</v>
      </c>
      <c r="L379" s="5" t="n">
        <f aca="false">J379-K379</f>
        <v>8</v>
      </c>
      <c r="M379" s="11" t="n">
        <f aca="false">IF(J379=0,0,K379/J379)</f>
        <v>0.666666666666667</v>
      </c>
    </row>
    <row r="380" customFormat="false" ht="15" hidden="false" customHeight="false" outlineLevel="0" collapsed="false">
      <c r="A380" s="5" t="s">
        <v>742</v>
      </c>
      <c r="B380" s="5" t="s">
        <v>54</v>
      </c>
      <c r="C380" s="5" t="s">
        <v>48</v>
      </c>
      <c r="D380" s="5" t="s">
        <v>64</v>
      </c>
      <c r="E380" s="5" t="s">
        <v>743</v>
      </c>
      <c r="F380" s="5" t="s">
        <v>57</v>
      </c>
      <c r="G380" s="5" t="s">
        <v>58</v>
      </c>
      <c r="H380" s="5" t="n">
        <v>0</v>
      </c>
      <c r="I380" s="5" t="n">
        <v>0</v>
      </c>
      <c r="J380" s="5" t="n">
        <v>19</v>
      </c>
      <c r="K380" s="5" t="n">
        <v>12</v>
      </c>
      <c r="L380" s="5" t="n">
        <f aca="false">J380-K380</f>
        <v>7</v>
      </c>
      <c r="M380" s="11" t="n">
        <f aca="false">IF(J380=0,0,K380/J380)</f>
        <v>0.631578947368421</v>
      </c>
    </row>
    <row r="381" customFormat="false" ht="15" hidden="false" customHeight="false" outlineLevel="0" collapsed="false">
      <c r="A381" s="5" t="s">
        <v>744</v>
      </c>
      <c r="B381" s="5" t="s">
        <v>54</v>
      </c>
      <c r="C381" s="5" t="s">
        <v>48</v>
      </c>
      <c r="D381" s="5" t="s">
        <v>491</v>
      </c>
      <c r="E381" s="5" t="s">
        <v>446</v>
      </c>
      <c r="F381" s="5" t="s">
        <v>57</v>
      </c>
      <c r="G381" s="5" t="s">
        <v>58</v>
      </c>
      <c r="H381" s="5" t="n">
        <v>0</v>
      </c>
      <c r="I381" s="5" t="n">
        <v>0</v>
      </c>
      <c r="J381" s="5" t="n">
        <v>17</v>
      </c>
      <c r="K381" s="5" t="n">
        <v>13</v>
      </c>
      <c r="L381" s="5" t="n">
        <f aca="false">J381-K381</f>
        <v>4</v>
      </c>
      <c r="M381" s="11" t="n">
        <f aca="false">IF(J381=0,0,K381/J381)</f>
        <v>0.764705882352941</v>
      </c>
    </row>
    <row r="382" customFormat="false" ht="15" hidden="false" customHeight="false" outlineLevel="0" collapsed="false">
      <c r="A382" s="5" t="s">
        <v>745</v>
      </c>
      <c r="B382" s="5" t="s">
        <v>54</v>
      </c>
      <c r="C382" s="5" t="s">
        <v>48</v>
      </c>
      <c r="D382" s="5" t="s">
        <v>85</v>
      </c>
      <c r="E382" s="5" t="s">
        <v>463</v>
      </c>
      <c r="F382" s="5" t="s">
        <v>57</v>
      </c>
      <c r="G382" s="5" t="s">
        <v>58</v>
      </c>
      <c r="H382" s="5" t="n">
        <v>0</v>
      </c>
      <c r="I382" s="5" t="n">
        <v>0</v>
      </c>
      <c r="J382" s="5" t="n">
        <v>14</v>
      </c>
      <c r="K382" s="5" t="n">
        <v>14</v>
      </c>
      <c r="L382" s="5" t="n">
        <f aca="false">J382-K382</f>
        <v>0</v>
      </c>
      <c r="M382" s="11" t="n">
        <f aca="false">IF(J382=0,0,K382/J382)</f>
        <v>1</v>
      </c>
    </row>
    <row r="383" customFormat="false" ht="15" hidden="false" customHeight="false" outlineLevel="0" collapsed="false">
      <c r="A383" s="5" t="s">
        <v>746</v>
      </c>
      <c r="B383" s="5" t="s">
        <v>54</v>
      </c>
      <c r="C383" s="5" t="s">
        <v>48</v>
      </c>
      <c r="D383" s="5" t="s">
        <v>303</v>
      </c>
      <c r="E383" s="5" t="s">
        <v>446</v>
      </c>
      <c r="F383" s="5" t="s">
        <v>57</v>
      </c>
      <c r="G383" s="5" t="s">
        <v>58</v>
      </c>
      <c r="H383" s="5" t="n">
        <v>0</v>
      </c>
      <c r="I383" s="5" t="n">
        <v>0</v>
      </c>
      <c r="J383" s="5" t="n">
        <v>19</v>
      </c>
      <c r="K383" s="5" t="n">
        <v>18</v>
      </c>
      <c r="L383" s="5" t="n">
        <f aca="false">J383-K383</f>
        <v>1</v>
      </c>
      <c r="M383" s="11" t="n">
        <f aca="false">IF(J383=0,0,K383/J383)</f>
        <v>0.947368421052632</v>
      </c>
    </row>
    <row r="384" customFormat="false" ht="15" hidden="false" customHeight="false" outlineLevel="0" collapsed="false">
      <c r="A384" s="5" t="s">
        <v>747</v>
      </c>
      <c r="B384" s="5" t="s">
        <v>60</v>
      </c>
      <c r="C384" s="5" t="s">
        <v>48</v>
      </c>
      <c r="D384" s="5" t="s">
        <v>530</v>
      </c>
      <c r="E384" s="5" t="s">
        <v>748</v>
      </c>
      <c r="F384" s="5" t="s">
        <v>57</v>
      </c>
      <c r="G384" s="5" t="s">
        <v>58</v>
      </c>
      <c r="H384" s="5" t="n">
        <v>0</v>
      </c>
      <c r="I384" s="5" t="n">
        <v>0</v>
      </c>
      <c r="J384" s="5" t="n">
        <v>31</v>
      </c>
      <c r="K384" s="5" t="n">
        <v>26</v>
      </c>
      <c r="L384" s="5" t="n">
        <f aca="false">J384-K384</f>
        <v>5</v>
      </c>
      <c r="M384" s="11" t="n">
        <f aca="false">IF(J384=0,0,K384/J384)</f>
        <v>0.838709677419355</v>
      </c>
    </row>
    <row r="385" customFormat="false" ht="15" hidden="false" customHeight="false" outlineLevel="0" collapsed="false">
      <c r="A385" s="5" t="s">
        <v>749</v>
      </c>
      <c r="B385" s="5" t="s">
        <v>60</v>
      </c>
      <c r="C385" s="5" t="s">
        <v>48</v>
      </c>
      <c r="D385" s="5" t="s">
        <v>309</v>
      </c>
      <c r="E385" s="5" t="s">
        <v>750</v>
      </c>
      <c r="F385" s="5" t="s">
        <v>57</v>
      </c>
      <c r="G385" s="5" t="s">
        <v>58</v>
      </c>
      <c r="H385" s="5" t="n">
        <v>0</v>
      </c>
      <c r="I385" s="5" t="n">
        <v>0</v>
      </c>
      <c r="J385" s="5" t="n">
        <v>21</v>
      </c>
      <c r="K385" s="5" t="n">
        <v>17</v>
      </c>
      <c r="L385" s="5" t="n">
        <f aca="false">J385-K385</f>
        <v>4</v>
      </c>
      <c r="M385" s="11" t="n">
        <f aca="false">IF(J385=0,0,K385/J385)</f>
        <v>0.80952380952381</v>
      </c>
    </row>
    <row r="386" customFormat="false" ht="15" hidden="false" customHeight="false" outlineLevel="0" collapsed="false">
      <c r="A386" s="5" t="s">
        <v>751</v>
      </c>
      <c r="B386" s="5" t="s">
        <v>60</v>
      </c>
      <c r="C386" s="5" t="s">
        <v>48</v>
      </c>
      <c r="D386" s="5" t="s">
        <v>220</v>
      </c>
      <c r="E386" s="5" t="s">
        <v>218</v>
      </c>
      <c r="F386" s="5" t="s">
        <v>57</v>
      </c>
      <c r="G386" s="5" t="s">
        <v>58</v>
      </c>
      <c r="H386" s="5" t="n">
        <v>0</v>
      </c>
      <c r="I386" s="5" t="n">
        <v>0</v>
      </c>
      <c r="J386" s="5" t="n">
        <v>24</v>
      </c>
      <c r="K386" s="5" t="n">
        <v>22</v>
      </c>
      <c r="L386" s="5" t="n">
        <f aca="false">J386-K386</f>
        <v>2</v>
      </c>
      <c r="M386" s="11" t="n">
        <f aca="false">IF(J386=0,0,K386/J386)</f>
        <v>0.916666666666667</v>
      </c>
    </row>
    <row r="387" customFormat="false" ht="15" hidden="false" customHeight="false" outlineLevel="0" collapsed="false">
      <c r="A387" s="5" t="s">
        <v>752</v>
      </c>
      <c r="B387" s="5" t="s">
        <v>60</v>
      </c>
      <c r="C387" s="5" t="s">
        <v>48</v>
      </c>
      <c r="D387" s="5" t="s">
        <v>220</v>
      </c>
      <c r="E387" s="5" t="s">
        <v>753</v>
      </c>
      <c r="F387" s="5" t="s">
        <v>57</v>
      </c>
      <c r="G387" s="5" t="s">
        <v>58</v>
      </c>
      <c r="H387" s="5" t="n">
        <v>0</v>
      </c>
      <c r="I387" s="5" t="n">
        <v>0</v>
      </c>
      <c r="J387" s="5" t="n">
        <v>28</v>
      </c>
      <c r="K387" s="5" t="n">
        <v>24</v>
      </c>
      <c r="L387" s="5" t="n">
        <f aca="false">J387-K387</f>
        <v>4</v>
      </c>
      <c r="M387" s="11" t="n">
        <f aca="false">IF(J387=0,0,K387/J387)</f>
        <v>0.857142857142857</v>
      </c>
    </row>
    <row r="388" customFormat="false" ht="15" hidden="false" customHeight="false" outlineLevel="0" collapsed="false">
      <c r="A388" s="5" t="s">
        <v>754</v>
      </c>
      <c r="B388" s="5" t="s">
        <v>60</v>
      </c>
      <c r="C388" s="5" t="s">
        <v>48</v>
      </c>
      <c r="D388" s="5" t="s">
        <v>220</v>
      </c>
      <c r="E388" s="5" t="s">
        <v>252</v>
      </c>
      <c r="F388" s="5" t="s">
        <v>57</v>
      </c>
      <c r="G388" s="5" t="s">
        <v>58</v>
      </c>
      <c r="H388" s="5" t="n">
        <v>0</v>
      </c>
      <c r="I388" s="5" t="n">
        <v>0</v>
      </c>
      <c r="J388" s="5" t="n">
        <v>24</v>
      </c>
      <c r="K388" s="5" t="n">
        <v>23</v>
      </c>
      <c r="L388" s="5" t="n">
        <f aca="false">J388-K388</f>
        <v>1</v>
      </c>
      <c r="M388" s="11" t="n">
        <f aca="false">IF(J388=0,0,K388/J388)</f>
        <v>0.958333333333333</v>
      </c>
    </row>
    <row r="389" customFormat="false" ht="15" hidden="false" customHeight="false" outlineLevel="0" collapsed="false">
      <c r="A389" s="5" t="s">
        <v>755</v>
      </c>
      <c r="B389" s="5" t="s">
        <v>104</v>
      </c>
      <c r="C389" s="5" t="s">
        <v>48</v>
      </c>
      <c r="D389" s="5" t="s">
        <v>537</v>
      </c>
      <c r="E389" s="5" t="s">
        <v>106</v>
      </c>
      <c r="F389" s="5" t="s">
        <v>57</v>
      </c>
      <c r="G389" s="5" t="s">
        <v>58</v>
      </c>
      <c r="H389" s="5" t="n">
        <v>0</v>
      </c>
      <c r="I389" s="5" t="n">
        <v>0</v>
      </c>
      <c r="J389" s="5" t="n">
        <v>5</v>
      </c>
      <c r="K389" s="5" t="n">
        <v>5</v>
      </c>
      <c r="L389" s="5" t="n">
        <f aca="false">J389-K389</f>
        <v>0</v>
      </c>
      <c r="M389" s="11" t="n">
        <f aca="false">IF(J389=0,0,K389/J389)</f>
        <v>1</v>
      </c>
    </row>
    <row r="390" customFormat="false" ht="15" hidden="false" customHeight="false" outlineLevel="0" collapsed="false">
      <c r="A390" s="5" t="s">
        <v>756</v>
      </c>
      <c r="B390" s="5" t="s">
        <v>104</v>
      </c>
      <c r="C390" s="5" t="s">
        <v>48</v>
      </c>
      <c r="D390" s="5" t="s">
        <v>537</v>
      </c>
      <c r="E390" s="5" t="s">
        <v>106</v>
      </c>
      <c r="F390" s="5" t="s">
        <v>57</v>
      </c>
      <c r="G390" s="5" t="s">
        <v>58</v>
      </c>
      <c r="H390" s="5" t="n">
        <v>0</v>
      </c>
      <c r="I390" s="5" t="n">
        <v>0</v>
      </c>
      <c r="J390" s="5" t="n">
        <v>5</v>
      </c>
      <c r="K390" s="5" t="n">
        <v>5</v>
      </c>
      <c r="L390" s="5" t="n">
        <f aca="false">J390-K390</f>
        <v>0</v>
      </c>
      <c r="M390" s="11" t="n">
        <f aca="false">IF(J390=0,0,K390/J390)</f>
        <v>1</v>
      </c>
    </row>
    <row r="391" customFormat="false" ht="15" hidden="false" customHeight="false" outlineLevel="0" collapsed="false">
      <c r="A391" s="5" t="s">
        <v>757</v>
      </c>
      <c r="B391" s="5" t="s">
        <v>104</v>
      </c>
      <c r="C391" s="5" t="s">
        <v>48</v>
      </c>
      <c r="D391" s="5" t="s">
        <v>537</v>
      </c>
      <c r="E391" s="5" t="s">
        <v>106</v>
      </c>
      <c r="F391" s="5" t="s">
        <v>57</v>
      </c>
      <c r="G391" s="5" t="s">
        <v>58</v>
      </c>
      <c r="H391" s="5" t="n">
        <v>0</v>
      </c>
      <c r="I391" s="5" t="n">
        <v>0</v>
      </c>
      <c r="J391" s="5" t="n">
        <v>5</v>
      </c>
      <c r="K391" s="5" t="n">
        <v>5</v>
      </c>
      <c r="L391" s="5" t="n">
        <f aca="false">J391-K391</f>
        <v>0</v>
      </c>
      <c r="M391" s="11" t="n">
        <f aca="false">IF(J391=0,0,K391/J391)</f>
        <v>1</v>
      </c>
    </row>
    <row r="392" customFormat="false" ht="15" hidden="false" customHeight="false" outlineLevel="0" collapsed="false">
      <c r="A392" s="5" t="s">
        <v>758</v>
      </c>
      <c r="B392" s="5" t="s">
        <v>60</v>
      </c>
      <c r="C392" s="5" t="s">
        <v>48</v>
      </c>
      <c r="D392" s="5" t="s">
        <v>759</v>
      </c>
      <c r="E392" s="5" t="s">
        <v>753</v>
      </c>
      <c r="F392" s="5" t="s">
        <v>57</v>
      </c>
      <c r="G392" s="5" t="s">
        <v>58</v>
      </c>
      <c r="H392" s="5" t="n">
        <v>0</v>
      </c>
      <c r="I392" s="5" t="n">
        <v>0</v>
      </c>
      <c r="J392" s="5" t="n">
        <v>26</v>
      </c>
      <c r="K392" s="5" t="n">
        <v>22</v>
      </c>
      <c r="L392" s="5" t="n">
        <f aca="false">J392-K392</f>
        <v>4</v>
      </c>
      <c r="M392" s="11" t="n">
        <f aca="false">IF(J392=0,0,K392/J392)</f>
        <v>0.846153846153846</v>
      </c>
    </row>
    <row r="393" customFormat="false" ht="15" hidden="false" customHeight="false" outlineLevel="0" collapsed="false">
      <c r="A393" s="5" t="s">
        <v>760</v>
      </c>
      <c r="B393" s="5" t="s">
        <v>60</v>
      </c>
      <c r="C393" s="5" t="s">
        <v>48</v>
      </c>
      <c r="D393" s="5" t="s">
        <v>761</v>
      </c>
      <c r="E393" s="5" t="s">
        <v>332</v>
      </c>
      <c r="F393" s="5" t="s">
        <v>57</v>
      </c>
      <c r="G393" s="5" t="s">
        <v>58</v>
      </c>
      <c r="H393" s="5" t="n">
        <v>0</v>
      </c>
      <c r="I393" s="5" t="n">
        <v>0</v>
      </c>
      <c r="J393" s="5" t="n">
        <v>13</v>
      </c>
      <c r="K393" s="5" t="n">
        <v>9</v>
      </c>
      <c r="L393" s="5" t="n">
        <f aca="false">J393-K393</f>
        <v>4</v>
      </c>
      <c r="M393" s="11" t="n">
        <f aca="false">IF(J393=0,0,K393/J393)</f>
        <v>0.692307692307692</v>
      </c>
    </row>
    <row r="394" customFormat="false" ht="15" hidden="false" customHeight="false" outlineLevel="0" collapsed="false">
      <c r="A394" s="5" t="s">
        <v>762</v>
      </c>
      <c r="B394" s="5" t="s">
        <v>60</v>
      </c>
      <c r="C394" s="5" t="s">
        <v>48</v>
      </c>
      <c r="D394" s="5" t="s">
        <v>352</v>
      </c>
      <c r="E394" s="5" t="s">
        <v>249</v>
      </c>
      <c r="F394" s="5" t="s">
        <v>57</v>
      </c>
      <c r="G394" s="5" t="s">
        <v>58</v>
      </c>
      <c r="H394" s="5" t="n">
        <v>0</v>
      </c>
      <c r="I394" s="5" t="n">
        <v>0</v>
      </c>
      <c r="J394" s="5" t="n">
        <v>25</v>
      </c>
      <c r="K394" s="5" t="n">
        <v>19</v>
      </c>
      <c r="L394" s="5" t="n">
        <f aca="false">J394-K394</f>
        <v>6</v>
      </c>
      <c r="M394" s="11" t="n">
        <f aca="false">IF(J394=0,0,K394/J394)</f>
        <v>0.76</v>
      </c>
    </row>
    <row r="395" customFormat="false" ht="15" hidden="false" customHeight="false" outlineLevel="0" collapsed="false">
      <c r="A395" s="5" t="s">
        <v>763</v>
      </c>
      <c r="B395" s="5" t="s">
        <v>60</v>
      </c>
      <c r="C395" s="5" t="s">
        <v>48</v>
      </c>
      <c r="D395" s="5" t="s">
        <v>364</v>
      </c>
      <c r="E395" s="5" t="s">
        <v>463</v>
      </c>
      <c r="F395" s="5" t="s">
        <v>57</v>
      </c>
      <c r="G395" s="5" t="s">
        <v>58</v>
      </c>
      <c r="H395" s="5" t="n">
        <v>0</v>
      </c>
      <c r="I395" s="5" t="n">
        <v>0</v>
      </c>
      <c r="J395" s="5" t="n">
        <v>24</v>
      </c>
      <c r="K395" s="5" t="n">
        <v>17</v>
      </c>
      <c r="L395" s="5" t="n">
        <f aca="false">J395-K395</f>
        <v>7</v>
      </c>
      <c r="M395" s="11" t="n">
        <f aca="false">IF(J395=0,0,K395/J395)</f>
        <v>0.708333333333333</v>
      </c>
    </row>
    <row r="396" customFormat="false" ht="15" hidden="false" customHeight="false" outlineLevel="0" collapsed="false">
      <c r="A396" s="5" t="s">
        <v>764</v>
      </c>
      <c r="B396" s="5" t="s">
        <v>60</v>
      </c>
      <c r="C396" s="5" t="s">
        <v>48</v>
      </c>
      <c r="D396" s="5" t="s">
        <v>393</v>
      </c>
      <c r="E396" s="5" t="s">
        <v>549</v>
      </c>
      <c r="F396" s="5" t="s">
        <v>57</v>
      </c>
      <c r="G396" s="5" t="s">
        <v>58</v>
      </c>
      <c r="H396" s="5" t="n">
        <v>0</v>
      </c>
      <c r="I396" s="5" t="n">
        <v>0</v>
      </c>
      <c r="J396" s="5" t="n">
        <v>45</v>
      </c>
      <c r="K396" s="5" t="n">
        <v>36</v>
      </c>
      <c r="L396" s="5" t="n">
        <f aca="false">J396-K396</f>
        <v>9</v>
      </c>
      <c r="M396" s="11" t="n">
        <f aca="false">IF(J396=0,0,K396/J396)</f>
        <v>0.8</v>
      </c>
    </row>
    <row r="397" customFormat="false" ht="15" hidden="false" customHeight="false" outlineLevel="0" collapsed="false">
      <c r="A397" s="5" t="s">
        <v>765</v>
      </c>
      <c r="B397" s="5" t="s">
        <v>60</v>
      </c>
      <c r="C397" s="5" t="s">
        <v>48</v>
      </c>
      <c r="D397" s="5" t="s">
        <v>766</v>
      </c>
      <c r="E397" s="5" t="s">
        <v>614</v>
      </c>
      <c r="F397" s="5" t="s">
        <v>57</v>
      </c>
      <c r="G397" s="5" t="s">
        <v>58</v>
      </c>
      <c r="H397" s="5" t="n">
        <v>0</v>
      </c>
      <c r="I397" s="5" t="n">
        <v>0</v>
      </c>
      <c r="J397" s="5" t="n">
        <v>21</v>
      </c>
      <c r="K397" s="5" t="n">
        <v>20</v>
      </c>
      <c r="L397" s="5" t="n">
        <f aca="false">J397-K397</f>
        <v>1</v>
      </c>
      <c r="M397" s="11" t="n">
        <f aca="false">IF(J397=0,0,K397/J397)</f>
        <v>0.952380952380952</v>
      </c>
    </row>
    <row r="398" customFormat="false" ht="15" hidden="false" customHeight="false" outlineLevel="0" collapsed="false">
      <c r="A398" s="5" t="s">
        <v>767</v>
      </c>
      <c r="B398" s="5" t="s">
        <v>60</v>
      </c>
      <c r="C398" s="5" t="s">
        <v>48</v>
      </c>
      <c r="D398" s="5" t="s">
        <v>114</v>
      </c>
      <c r="E398" s="5" t="s">
        <v>768</v>
      </c>
      <c r="F398" s="5" t="s">
        <v>57</v>
      </c>
      <c r="G398" s="5" t="s">
        <v>58</v>
      </c>
      <c r="H398" s="5" t="n">
        <v>0</v>
      </c>
      <c r="I398" s="5" t="n">
        <v>0</v>
      </c>
      <c r="J398" s="5" t="n">
        <v>29</v>
      </c>
      <c r="K398" s="5" t="n">
        <v>22</v>
      </c>
      <c r="L398" s="5" t="n">
        <f aca="false">J398-K398</f>
        <v>7</v>
      </c>
      <c r="M398" s="11" t="n">
        <f aca="false">IF(J398=0,0,K398/J398)</f>
        <v>0.758620689655172</v>
      </c>
    </row>
    <row r="399" customFormat="false" ht="15" hidden="false" customHeight="false" outlineLevel="0" collapsed="false">
      <c r="A399" s="5" t="s">
        <v>769</v>
      </c>
      <c r="B399" s="5" t="s">
        <v>60</v>
      </c>
      <c r="C399" s="5" t="s">
        <v>48</v>
      </c>
      <c r="D399" s="5" t="s">
        <v>213</v>
      </c>
      <c r="E399" s="5" t="s">
        <v>189</v>
      </c>
      <c r="F399" s="5" t="s">
        <v>57</v>
      </c>
      <c r="G399" s="5" t="s">
        <v>58</v>
      </c>
      <c r="H399" s="5" t="n">
        <v>0</v>
      </c>
      <c r="I399" s="5" t="n">
        <v>0</v>
      </c>
      <c r="J399" s="5" t="n">
        <v>38</v>
      </c>
      <c r="K399" s="5" t="n">
        <v>32</v>
      </c>
      <c r="L399" s="5" t="n">
        <f aca="false">J399-K399</f>
        <v>6</v>
      </c>
      <c r="M399" s="11" t="n">
        <f aca="false">IF(J399=0,0,K399/J399)</f>
        <v>0.842105263157895</v>
      </c>
    </row>
    <row r="400" customFormat="false" ht="15" hidden="false" customHeight="false" outlineLevel="0" collapsed="false">
      <c r="A400" s="5" t="s">
        <v>770</v>
      </c>
      <c r="B400" s="5" t="s">
        <v>60</v>
      </c>
      <c r="C400" s="5" t="s">
        <v>48</v>
      </c>
      <c r="D400" s="5" t="s">
        <v>771</v>
      </c>
      <c r="E400" s="5" t="s">
        <v>232</v>
      </c>
      <c r="F400" s="5" t="s">
        <v>57</v>
      </c>
      <c r="G400" s="5" t="s">
        <v>58</v>
      </c>
      <c r="H400" s="5" t="n">
        <v>0</v>
      </c>
      <c r="I400" s="5" t="n">
        <v>0</v>
      </c>
      <c r="J400" s="5" t="n">
        <v>29</v>
      </c>
      <c r="K400" s="5" t="n">
        <v>29</v>
      </c>
      <c r="L400" s="5" t="n">
        <f aca="false">J400-K400</f>
        <v>0</v>
      </c>
      <c r="M400" s="11" t="n">
        <f aca="false">IF(J400=0,0,K400/J400)</f>
        <v>1</v>
      </c>
    </row>
    <row r="401" customFormat="false" ht="15" hidden="false" customHeight="false" outlineLevel="0" collapsed="false">
      <c r="A401" s="5" t="s">
        <v>772</v>
      </c>
      <c r="B401" s="5" t="s">
        <v>60</v>
      </c>
      <c r="C401" s="5" t="s">
        <v>48</v>
      </c>
      <c r="D401" s="5" t="s">
        <v>773</v>
      </c>
      <c r="E401" s="5" t="s">
        <v>774</v>
      </c>
      <c r="F401" s="5" t="s">
        <v>57</v>
      </c>
      <c r="G401" s="5" t="s">
        <v>58</v>
      </c>
      <c r="H401" s="5" t="n">
        <v>0</v>
      </c>
      <c r="I401" s="5" t="n">
        <v>0</v>
      </c>
      <c r="J401" s="5" t="n">
        <v>39</v>
      </c>
      <c r="K401" s="5" t="n">
        <v>30</v>
      </c>
      <c r="L401" s="5" t="n">
        <f aca="false">J401-K401</f>
        <v>9</v>
      </c>
      <c r="M401" s="11" t="n">
        <f aca="false">IF(J401=0,0,K401/J401)</f>
        <v>0.769230769230769</v>
      </c>
    </row>
    <row r="402" customFormat="false" ht="15" hidden="false" customHeight="false" outlineLevel="0" collapsed="false">
      <c r="A402" s="5" t="s">
        <v>775</v>
      </c>
      <c r="B402" s="5" t="s">
        <v>60</v>
      </c>
      <c r="C402" s="5" t="s">
        <v>48</v>
      </c>
      <c r="D402" s="5" t="s">
        <v>753</v>
      </c>
      <c r="E402" s="5" t="s">
        <v>776</v>
      </c>
      <c r="F402" s="5" t="s">
        <v>57</v>
      </c>
      <c r="G402" s="5" t="s">
        <v>58</v>
      </c>
      <c r="H402" s="5" t="n">
        <v>0</v>
      </c>
      <c r="I402" s="5" t="n">
        <v>0</v>
      </c>
      <c r="J402" s="5" t="n">
        <v>29</v>
      </c>
      <c r="K402" s="5" t="n">
        <v>23</v>
      </c>
      <c r="L402" s="5" t="n">
        <f aca="false">J402-K402</f>
        <v>6</v>
      </c>
      <c r="M402" s="11" t="n">
        <f aca="false">IF(J402=0,0,K402/J402)</f>
        <v>0.793103448275862</v>
      </c>
    </row>
    <row r="403" customFormat="false" ht="15" hidden="false" customHeight="false" outlineLevel="0" collapsed="false">
      <c r="A403" s="5" t="s">
        <v>777</v>
      </c>
      <c r="B403" s="5" t="s">
        <v>60</v>
      </c>
      <c r="C403" s="5" t="s">
        <v>48</v>
      </c>
      <c r="D403" s="5" t="s">
        <v>193</v>
      </c>
      <c r="E403" s="5" t="s">
        <v>56</v>
      </c>
      <c r="F403" s="5" t="s">
        <v>57</v>
      </c>
      <c r="G403" s="5" t="s">
        <v>58</v>
      </c>
      <c r="H403" s="5" t="n">
        <v>0</v>
      </c>
      <c r="I403" s="5" t="n">
        <v>0</v>
      </c>
      <c r="J403" s="5" t="n">
        <v>22</v>
      </c>
      <c r="K403" s="5" t="n">
        <v>20</v>
      </c>
      <c r="L403" s="5" t="n">
        <f aca="false">J403-K403</f>
        <v>2</v>
      </c>
      <c r="M403" s="11" t="n">
        <f aca="false">IF(J403=0,0,K403/J403)</f>
        <v>0.909090909090909</v>
      </c>
    </row>
    <row r="404" customFormat="false" ht="15" hidden="false" customHeight="false" outlineLevel="0" collapsed="false">
      <c r="A404" s="5" t="s">
        <v>778</v>
      </c>
      <c r="B404" s="5" t="s">
        <v>60</v>
      </c>
      <c r="C404" s="5" t="s">
        <v>48</v>
      </c>
      <c r="D404" s="5" t="s">
        <v>779</v>
      </c>
      <c r="E404" s="5" t="s">
        <v>780</v>
      </c>
      <c r="F404" s="5" t="s">
        <v>57</v>
      </c>
      <c r="G404" s="5" t="s">
        <v>58</v>
      </c>
      <c r="H404" s="5" t="n">
        <v>0</v>
      </c>
      <c r="I404" s="5" t="n">
        <v>0</v>
      </c>
      <c r="J404" s="5" t="n">
        <v>18</v>
      </c>
      <c r="K404" s="5" t="n">
        <v>9</v>
      </c>
      <c r="L404" s="5" t="n">
        <f aca="false">J404-K404</f>
        <v>9</v>
      </c>
      <c r="M404" s="11" t="n">
        <f aca="false">IF(J404=0,0,K404/J404)</f>
        <v>0.5</v>
      </c>
    </row>
    <row r="405" customFormat="false" ht="15" hidden="false" customHeight="false" outlineLevel="0" collapsed="false">
      <c r="A405" s="5" t="s">
        <v>781</v>
      </c>
      <c r="B405" s="5" t="s">
        <v>54</v>
      </c>
      <c r="C405" s="5" t="s">
        <v>48</v>
      </c>
      <c r="D405" s="5" t="s">
        <v>180</v>
      </c>
      <c r="E405" s="5" t="s">
        <v>463</v>
      </c>
      <c r="F405" s="5" t="s">
        <v>57</v>
      </c>
      <c r="G405" s="5" t="s">
        <v>58</v>
      </c>
      <c r="H405" s="5" t="n">
        <v>0</v>
      </c>
      <c r="I405" s="5" t="n">
        <v>0</v>
      </c>
      <c r="J405" s="5" t="n">
        <v>12</v>
      </c>
      <c r="K405" s="5" t="n">
        <v>9</v>
      </c>
      <c r="L405" s="5" t="n">
        <f aca="false">J405-K405</f>
        <v>3</v>
      </c>
      <c r="M405" s="11" t="n">
        <f aca="false">IF(J405=0,0,K405/J405)</f>
        <v>0.75</v>
      </c>
    </row>
    <row r="406" customFormat="false" ht="15" hidden="false" customHeight="false" outlineLevel="0" collapsed="false">
      <c r="A406" s="5" t="s">
        <v>782</v>
      </c>
      <c r="B406" s="5" t="s">
        <v>60</v>
      </c>
      <c r="C406" s="5" t="s">
        <v>48</v>
      </c>
      <c r="D406" s="5" t="s">
        <v>783</v>
      </c>
      <c r="E406" s="5" t="s">
        <v>56</v>
      </c>
      <c r="F406" s="5" t="s">
        <v>57</v>
      </c>
      <c r="G406" s="5" t="s">
        <v>58</v>
      </c>
      <c r="H406" s="5" t="n">
        <v>0</v>
      </c>
      <c r="I406" s="5" t="n">
        <v>0</v>
      </c>
      <c r="J406" s="5" t="n">
        <v>18</v>
      </c>
      <c r="K406" s="5" t="n">
        <v>12</v>
      </c>
      <c r="L406" s="5" t="n">
        <f aca="false">J406-K406</f>
        <v>6</v>
      </c>
      <c r="M406" s="11" t="n">
        <f aca="false">IF(J406=0,0,K406/J406)</f>
        <v>0.666666666666667</v>
      </c>
    </row>
    <row r="407" customFormat="false" ht="15" hidden="false" customHeight="false" outlineLevel="0" collapsed="false">
      <c r="A407" s="5" t="s">
        <v>784</v>
      </c>
      <c r="B407" s="5" t="s">
        <v>60</v>
      </c>
      <c r="C407" s="5" t="s">
        <v>48</v>
      </c>
      <c r="D407" s="5" t="s">
        <v>785</v>
      </c>
      <c r="E407" s="5" t="s">
        <v>786</v>
      </c>
      <c r="F407" s="5" t="s">
        <v>57</v>
      </c>
      <c r="G407" s="5" t="s">
        <v>58</v>
      </c>
      <c r="H407" s="5" t="n">
        <v>0</v>
      </c>
      <c r="I407" s="5" t="n">
        <v>0</v>
      </c>
      <c r="J407" s="5" t="n">
        <v>25</v>
      </c>
      <c r="K407" s="5" t="n">
        <v>14</v>
      </c>
      <c r="L407" s="5" t="n">
        <f aca="false">J407-K407</f>
        <v>11</v>
      </c>
      <c r="M407" s="11" t="n">
        <f aca="false">IF(J407=0,0,K407/J407)</f>
        <v>0.56</v>
      </c>
    </row>
    <row r="408" customFormat="false" ht="15" hidden="false" customHeight="false" outlineLevel="0" collapsed="false">
      <c r="A408" s="5" t="s">
        <v>787</v>
      </c>
      <c r="B408" s="5" t="s">
        <v>60</v>
      </c>
      <c r="C408" s="5" t="s">
        <v>48</v>
      </c>
      <c r="D408" s="5" t="s">
        <v>788</v>
      </c>
      <c r="E408" s="5" t="s">
        <v>703</v>
      </c>
      <c r="F408" s="5" t="s">
        <v>57</v>
      </c>
      <c r="G408" s="5" t="s">
        <v>58</v>
      </c>
      <c r="H408" s="5" t="n">
        <v>0</v>
      </c>
      <c r="I408" s="5" t="n">
        <v>0</v>
      </c>
      <c r="J408" s="5" t="n">
        <v>21</v>
      </c>
      <c r="K408" s="5" t="n">
        <v>9</v>
      </c>
      <c r="L408" s="5" t="n">
        <f aca="false">J408-K408</f>
        <v>12</v>
      </c>
      <c r="M408" s="11" t="n">
        <f aca="false">IF(J408=0,0,K408/J408)</f>
        <v>0.428571428571429</v>
      </c>
    </row>
    <row r="409" customFormat="false" ht="15" hidden="false" customHeight="false" outlineLevel="0" collapsed="false">
      <c r="A409" s="5" t="s">
        <v>789</v>
      </c>
      <c r="B409" s="5" t="s">
        <v>54</v>
      </c>
      <c r="C409" s="5" t="s">
        <v>48</v>
      </c>
      <c r="D409" s="5" t="s">
        <v>790</v>
      </c>
      <c r="E409" s="5" t="s">
        <v>56</v>
      </c>
      <c r="F409" s="5" t="s">
        <v>57</v>
      </c>
      <c r="G409" s="5" t="s">
        <v>58</v>
      </c>
      <c r="H409" s="5" t="n">
        <v>0</v>
      </c>
      <c r="I409" s="5" t="n">
        <v>0</v>
      </c>
      <c r="J409" s="5" t="n">
        <v>9</v>
      </c>
      <c r="K409" s="5" t="n">
        <v>9</v>
      </c>
      <c r="L409" s="5" t="n">
        <f aca="false">J409-K409</f>
        <v>0</v>
      </c>
      <c r="M409" s="11" t="n">
        <f aca="false">IF(J409=0,0,K409/J409)</f>
        <v>1</v>
      </c>
    </row>
    <row r="410" customFormat="false" ht="15" hidden="false" customHeight="false" outlineLevel="0" collapsed="false">
      <c r="A410" s="5" t="s">
        <v>791</v>
      </c>
      <c r="B410" s="5" t="s">
        <v>54</v>
      </c>
      <c r="C410" s="5" t="s">
        <v>48</v>
      </c>
      <c r="D410" s="5" t="s">
        <v>76</v>
      </c>
      <c r="E410" s="5" t="s">
        <v>56</v>
      </c>
      <c r="F410" s="5" t="s">
        <v>57</v>
      </c>
      <c r="G410" s="5" t="s">
        <v>58</v>
      </c>
      <c r="H410" s="5" t="n">
        <v>0</v>
      </c>
      <c r="I410" s="5" t="n">
        <v>0</v>
      </c>
      <c r="J410" s="5" t="n">
        <v>13</v>
      </c>
      <c r="K410" s="5" t="n">
        <v>13</v>
      </c>
      <c r="L410" s="5" t="n">
        <f aca="false">J410-K410</f>
        <v>0</v>
      </c>
      <c r="M410" s="11" t="n">
        <f aca="false">IF(J410=0,0,K410/J410)</f>
        <v>1</v>
      </c>
    </row>
    <row r="411" customFormat="false" ht="15" hidden="false" customHeight="false" outlineLevel="0" collapsed="false">
      <c r="A411" s="5" t="s">
        <v>792</v>
      </c>
      <c r="B411" s="5" t="s">
        <v>54</v>
      </c>
      <c r="C411" s="5" t="s">
        <v>48</v>
      </c>
      <c r="D411" s="5" t="s">
        <v>793</v>
      </c>
      <c r="E411" s="5" t="s">
        <v>56</v>
      </c>
      <c r="F411" s="5" t="s">
        <v>57</v>
      </c>
      <c r="G411" s="5" t="s">
        <v>58</v>
      </c>
      <c r="H411" s="5" t="n">
        <v>0</v>
      </c>
      <c r="I411" s="5" t="n">
        <v>0</v>
      </c>
      <c r="J411" s="5" t="n">
        <v>13</v>
      </c>
      <c r="K411" s="5" t="n">
        <v>12</v>
      </c>
      <c r="L411" s="5" t="n">
        <f aca="false">J411-K411</f>
        <v>1</v>
      </c>
      <c r="M411" s="11" t="n">
        <f aca="false">IF(J411=0,0,K411/J411)</f>
        <v>0.923076923076923</v>
      </c>
    </row>
    <row r="412" customFormat="false" ht="15" hidden="false" customHeight="false" outlineLevel="0" collapsed="false">
      <c r="A412" s="5" t="s">
        <v>794</v>
      </c>
      <c r="B412" s="5" t="s">
        <v>54</v>
      </c>
      <c r="C412" s="5" t="s">
        <v>48</v>
      </c>
      <c r="D412" s="5" t="s">
        <v>795</v>
      </c>
      <c r="E412" s="5" t="s">
        <v>796</v>
      </c>
      <c r="F412" s="5" t="s">
        <v>57</v>
      </c>
      <c r="G412" s="5" t="s">
        <v>58</v>
      </c>
      <c r="H412" s="5" t="n">
        <v>0</v>
      </c>
      <c r="I412" s="5" t="n">
        <v>0</v>
      </c>
      <c r="J412" s="5" t="n">
        <v>21</v>
      </c>
      <c r="K412" s="5" t="n">
        <v>17</v>
      </c>
      <c r="L412" s="5" t="n">
        <f aca="false">J412-K412</f>
        <v>4</v>
      </c>
      <c r="M412" s="11" t="n">
        <f aca="false">IF(J412=0,0,K412/J412)</f>
        <v>0.80952380952381</v>
      </c>
    </row>
    <row r="413" customFormat="false" ht="15" hidden="false" customHeight="false" outlineLevel="0" collapsed="false">
      <c r="A413" s="5" t="s">
        <v>797</v>
      </c>
      <c r="B413" s="5" t="s">
        <v>54</v>
      </c>
      <c r="C413" s="5" t="s">
        <v>48</v>
      </c>
      <c r="D413" s="5" t="s">
        <v>798</v>
      </c>
      <c r="E413" s="5" t="s">
        <v>56</v>
      </c>
      <c r="F413" s="5" t="s">
        <v>57</v>
      </c>
      <c r="G413" s="5" t="s">
        <v>58</v>
      </c>
      <c r="H413" s="5" t="n">
        <v>0</v>
      </c>
      <c r="I413" s="5" t="n">
        <v>0</v>
      </c>
      <c r="J413" s="5" t="n">
        <v>12</v>
      </c>
      <c r="K413" s="5" t="n">
        <v>11</v>
      </c>
      <c r="L413" s="5" t="n">
        <f aca="false">J413-K413</f>
        <v>1</v>
      </c>
      <c r="M413" s="11" t="n">
        <f aca="false">IF(J413=0,0,K413/J413)</f>
        <v>0.916666666666667</v>
      </c>
    </row>
    <row r="414" customFormat="false" ht="15" hidden="false" customHeight="false" outlineLevel="0" collapsed="false">
      <c r="A414" s="5" t="s">
        <v>799</v>
      </c>
      <c r="B414" s="5" t="s">
        <v>54</v>
      </c>
      <c r="C414" s="5" t="s">
        <v>48</v>
      </c>
      <c r="D414" s="5" t="s">
        <v>800</v>
      </c>
      <c r="E414" s="5" t="s">
        <v>801</v>
      </c>
      <c r="F414" s="5" t="s">
        <v>57</v>
      </c>
      <c r="G414" s="5" t="s">
        <v>58</v>
      </c>
      <c r="H414" s="5" t="n">
        <v>0</v>
      </c>
      <c r="I414" s="5" t="n">
        <v>0</v>
      </c>
      <c r="J414" s="5" t="n">
        <v>12</v>
      </c>
      <c r="K414" s="5" t="n">
        <v>8</v>
      </c>
      <c r="L414" s="5" t="n">
        <f aca="false">J414-K414</f>
        <v>4</v>
      </c>
      <c r="M414" s="11" t="n">
        <f aca="false">IF(J414=0,0,K414/J414)</f>
        <v>0.666666666666667</v>
      </c>
    </row>
    <row r="415" customFormat="false" ht="15" hidden="false" customHeight="false" outlineLevel="0" collapsed="false">
      <c r="A415" s="5" t="s">
        <v>802</v>
      </c>
      <c r="B415" s="5" t="s">
        <v>60</v>
      </c>
      <c r="C415" s="5" t="s">
        <v>48</v>
      </c>
      <c r="D415" s="5" t="s">
        <v>803</v>
      </c>
      <c r="E415" s="5" t="s">
        <v>193</v>
      </c>
      <c r="F415" s="5" t="s">
        <v>57</v>
      </c>
      <c r="G415" s="5" t="s">
        <v>58</v>
      </c>
      <c r="H415" s="5" t="n">
        <v>0</v>
      </c>
      <c r="I415" s="5" t="n">
        <v>0</v>
      </c>
      <c r="J415" s="5" t="n">
        <v>25</v>
      </c>
      <c r="K415" s="5" t="n">
        <v>23</v>
      </c>
      <c r="L415" s="5" t="n">
        <f aca="false">J415-K415</f>
        <v>2</v>
      </c>
      <c r="M415" s="11" t="n">
        <f aca="false">IF(J415=0,0,K415/J415)</f>
        <v>0.92</v>
      </c>
    </row>
    <row r="416" customFormat="false" ht="15" hidden="false" customHeight="false" outlineLevel="0" collapsed="false">
      <c r="A416" s="5" t="s">
        <v>804</v>
      </c>
      <c r="B416" s="5" t="s">
        <v>60</v>
      </c>
      <c r="C416" s="5" t="s">
        <v>48</v>
      </c>
      <c r="D416" s="5" t="s">
        <v>387</v>
      </c>
      <c r="E416" s="5" t="s">
        <v>56</v>
      </c>
      <c r="F416" s="5" t="s">
        <v>57</v>
      </c>
      <c r="G416" s="5" t="s">
        <v>58</v>
      </c>
      <c r="H416" s="5" t="n">
        <v>0</v>
      </c>
      <c r="I416" s="5" t="n">
        <v>0</v>
      </c>
      <c r="J416" s="5" t="n">
        <v>27</v>
      </c>
      <c r="K416" s="5" t="n">
        <v>22</v>
      </c>
      <c r="L416" s="5" t="n">
        <f aca="false">J416-K416</f>
        <v>5</v>
      </c>
      <c r="M416" s="11" t="n">
        <f aca="false">IF(J416=0,0,K416/J416)</f>
        <v>0.814814814814815</v>
      </c>
    </row>
    <row r="417" customFormat="false" ht="15" hidden="false" customHeight="false" outlineLevel="0" collapsed="false">
      <c r="A417" s="5" t="s">
        <v>805</v>
      </c>
      <c r="B417" s="5" t="s">
        <v>60</v>
      </c>
      <c r="C417" s="5" t="s">
        <v>48</v>
      </c>
      <c r="D417" s="5" t="s">
        <v>806</v>
      </c>
      <c r="E417" s="5" t="s">
        <v>753</v>
      </c>
      <c r="F417" s="5" t="s">
        <v>57</v>
      </c>
      <c r="G417" s="5" t="s">
        <v>58</v>
      </c>
      <c r="H417" s="5" t="n">
        <v>0</v>
      </c>
      <c r="I417" s="5" t="n">
        <v>0</v>
      </c>
      <c r="J417" s="5" t="n">
        <v>27</v>
      </c>
      <c r="K417" s="5" t="n">
        <v>22</v>
      </c>
      <c r="L417" s="5" t="n">
        <f aca="false">J417-K417</f>
        <v>5</v>
      </c>
      <c r="M417" s="11" t="n">
        <f aca="false">IF(J417=0,0,K417/J417)</f>
        <v>0.814814814814815</v>
      </c>
    </row>
    <row r="418" customFormat="false" ht="15" hidden="false" customHeight="false" outlineLevel="0" collapsed="false">
      <c r="A418" s="5" t="s">
        <v>807</v>
      </c>
      <c r="B418" s="5" t="s">
        <v>54</v>
      </c>
      <c r="C418" s="5" t="s">
        <v>48</v>
      </c>
      <c r="D418" s="5" t="s">
        <v>349</v>
      </c>
      <c r="E418" s="5" t="s">
        <v>562</v>
      </c>
      <c r="F418" s="5" t="s">
        <v>57</v>
      </c>
      <c r="G418" s="5" t="s">
        <v>58</v>
      </c>
      <c r="H418" s="5" t="n">
        <v>0</v>
      </c>
      <c r="I418" s="5" t="n">
        <v>0</v>
      </c>
      <c r="J418" s="5" t="n">
        <v>8</v>
      </c>
      <c r="K418" s="5" t="n">
        <v>7</v>
      </c>
      <c r="L418" s="5" t="n">
        <f aca="false">J418-K418</f>
        <v>1</v>
      </c>
      <c r="M418" s="11" t="n">
        <f aca="false">IF(J418=0,0,K418/J418)</f>
        <v>0.875</v>
      </c>
    </row>
    <row r="419" customFormat="false" ht="15" hidden="false" customHeight="false" outlineLevel="0" collapsed="false">
      <c r="A419" s="5" t="s">
        <v>808</v>
      </c>
      <c r="B419" s="5" t="s">
        <v>809</v>
      </c>
      <c r="C419" s="5" t="s">
        <v>48</v>
      </c>
      <c r="D419" s="5" t="s">
        <v>309</v>
      </c>
      <c r="E419" s="5" t="s">
        <v>56</v>
      </c>
      <c r="F419" s="5" t="s">
        <v>51</v>
      </c>
      <c r="G419" s="5" t="s">
        <v>52</v>
      </c>
      <c r="H419" s="5" t="n">
        <v>8</v>
      </c>
      <c r="I419" s="5" t="n">
        <v>8</v>
      </c>
      <c r="J419" s="5" t="n">
        <v>7</v>
      </c>
      <c r="K419" s="5" t="n">
        <v>7</v>
      </c>
      <c r="L419" s="5" t="n">
        <f aca="false">J419-K419</f>
        <v>0</v>
      </c>
      <c r="M419" s="11" t="n">
        <f aca="false">IF(J419=0,0,K419/J419)</f>
        <v>1</v>
      </c>
    </row>
    <row r="420" customFormat="false" ht="15" hidden="false" customHeight="false" outlineLevel="0" collapsed="false">
      <c r="A420" s="5" t="s">
        <v>810</v>
      </c>
      <c r="B420" s="5" t="s">
        <v>60</v>
      </c>
      <c r="C420" s="5" t="s">
        <v>48</v>
      </c>
      <c r="D420" s="5" t="s">
        <v>249</v>
      </c>
      <c r="E420" s="5" t="s">
        <v>811</v>
      </c>
      <c r="F420" s="5" t="s">
        <v>57</v>
      </c>
      <c r="G420" s="5" t="s">
        <v>58</v>
      </c>
      <c r="H420" s="5" t="n">
        <v>0</v>
      </c>
      <c r="I420" s="5" t="n">
        <v>0</v>
      </c>
      <c r="J420" s="5" t="n">
        <v>52</v>
      </c>
      <c r="K420" s="5" t="n">
        <v>27</v>
      </c>
      <c r="L420" s="5" t="n">
        <f aca="false">J420-K420</f>
        <v>25</v>
      </c>
      <c r="M420" s="11" t="n">
        <f aca="false">IF(J420=0,0,K420/J420)</f>
        <v>0.519230769230769</v>
      </c>
    </row>
    <row r="421" customFormat="false" ht="15" hidden="false" customHeight="false" outlineLevel="0" collapsed="false">
      <c r="A421" s="5" t="s">
        <v>812</v>
      </c>
      <c r="B421" s="5" t="s">
        <v>60</v>
      </c>
      <c r="C421" s="5" t="s">
        <v>48</v>
      </c>
      <c r="D421" s="5" t="s">
        <v>378</v>
      </c>
      <c r="E421" s="5" t="s">
        <v>361</v>
      </c>
      <c r="F421" s="5" t="s">
        <v>57</v>
      </c>
      <c r="G421" s="5" t="s">
        <v>58</v>
      </c>
      <c r="H421" s="5" t="n">
        <v>0</v>
      </c>
      <c r="I421" s="5" t="n">
        <v>0</v>
      </c>
      <c r="J421" s="5" t="n">
        <v>16</v>
      </c>
      <c r="K421" s="5" t="n">
        <v>12</v>
      </c>
      <c r="L421" s="5" t="n">
        <f aca="false">J421-K421</f>
        <v>4</v>
      </c>
      <c r="M421" s="11" t="n">
        <f aca="false">IF(J421=0,0,K421/J421)</f>
        <v>0.75</v>
      </c>
    </row>
    <row r="422" customFormat="false" ht="15" hidden="false" customHeight="false" outlineLevel="0" collapsed="false">
      <c r="A422" s="5" t="s">
        <v>813</v>
      </c>
      <c r="B422" s="5" t="s">
        <v>60</v>
      </c>
      <c r="C422" s="5" t="s">
        <v>48</v>
      </c>
      <c r="D422" s="5" t="s">
        <v>814</v>
      </c>
      <c r="E422" s="5" t="s">
        <v>815</v>
      </c>
      <c r="F422" s="5" t="s">
        <v>57</v>
      </c>
      <c r="G422" s="5" t="s">
        <v>58</v>
      </c>
      <c r="H422" s="5" t="n">
        <v>0</v>
      </c>
      <c r="I422" s="5" t="n">
        <v>0</v>
      </c>
      <c r="J422" s="5" t="n">
        <v>10</v>
      </c>
      <c r="K422" s="5" t="n">
        <v>6</v>
      </c>
      <c r="L422" s="5" t="n">
        <f aca="false">J422-K422</f>
        <v>4</v>
      </c>
      <c r="M422" s="11" t="n">
        <f aca="false">IF(J422=0,0,K422/J422)</f>
        <v>0.6</v>
      </c>
    </row>
    <row r="423" customFormat="false" ht="15" hidden="false" customHeight="false" outlineLevel="0" collapsed="false">
      <c r="A423" s="5" t="s">
        <v>816</v>
      </c>
      <c r="B423" s="5" t="s">
        <v>60</v>
      </c>
      <c r="C423" s="5" t="s">
        <v>48</v>
      </c>
      <c r="D423" s="5" t="s">
        <v>817</v>
      </c>
      <c r="E423" s="5" t="s">
        <v>818</v>
      </c>
      <c r="F423" s="5" t="s">
        <v>57</v>
      </c>
      <c r="G423" s="5" t="s">
        <v>58</v>
      </c>
      <c r="H423" s="5" t="n">
        <v>0</v>
      </c>
      <c r="I423" s="5" t="n">
        <v>0</v>
      </c>
      <c r="J423" s="5" t="n">
        <v>5</v>
      </c>
      <c r="K423" s="5" t="n">
        <v>5</v>
      </c>
      <c r="L423" s="5" t="n">
        <f aca="false">J423-K423</f>
        <v>0</v>
      </c>
      <c r="M423" s="11" t="n">
        <f aca="false">IF(J423=0,0,K423/J423)</f>
        <v>1</v>
      </c>
    </row>
    <row r="424" customFormat="false" ht="15" hidden="false" customHeight="false" outlineLevel="0" collapsed="false">
      <c r="A424" s="5" t="s">
        <v>819</v>
      </c>
      <c r="B424" s="5" t="s">
        <v>60</v>
      </c>
      <c r="C424" s="5" t="s">
        <v>48</v>
      </c>
      <c r="D424" s="5" t="s">
        <v>820</v>
      </c>
      <c r="E424" s="5" t="s">
        <v>357</v>
      </c>
      <c r="F424" s="5" t="s">
        <v>57</v>
      </c>
      <c r="G424" s="5" t="s">
        <v>58</v>
      </c>
      <c r="H424" s="5" t="n">
        <v>0</v>
      </c>
      <c r="I424" s="5" t="n">
        <v>0</v>
      </c>
      <c r="J424" s="5" t="n">
        <v>16</v>
      </c>
      <c r="K424" s="5" t="n">
        <v>8</v>
      </c>
      <c r="L424" s="5" t="n">
        <f aca="false">J424-K424</f>
        <v>8</v>
      </c>
      <c r="M424" s="11" t="n">
        <f aca="false">IF(J424=0,0,K424/J424)</f>
        <v>0.5</v>
      </c>
    </row>
    <row r="425" customFormat="false" ht="15" hidden="false" customHeight="false" outlineLevel="0" collapsed="false">
      <c r="A425" s="5" t="s">
        <v>821</v>
      </c>
      <c r="B425" s="5" t="s">
        <v>60</v>
      </c>
      <c r="C425" s="5" t="s">
        <v>48</v>
      </c>
      <c r="D425" s="5" t="s">
        <v>822</v>
      </c>
      <c r="E425" s="5" t="s">
        <v>823</v>
      </c>
      <c r="F425" s="5" t="s">
        <v>57</v>
      </c>
      <c r="G425" s="5" t="s">
        <v>58</v>
      </c>
      <c r="H425" s="5" t="n">
        <v>0</v>
      </c>
      <c r="I425" s="5" t="n">
        <v>0</v>
      </c>
      <c r="J425" s="5" t="n">
        <v>3</v>
      </c>
      <c r="K425" s="5" t="n">
        <v>2</v>
      </c>
      <c r="L425" s="5" t="n">
        <f aca="false">J425-K425</f>
        <v>1</v>
      </c>
      <c r="M425" s="11" t="n">
        <f aca="false">IF(J425=0,0,K425/J425)</f>
        <v>0.666666666666667</v>
      </c>
    </row>
    <row r="426" customFormat="false" ht="15" hidden="false" customHeight="false" outlineLevel="0" collapsed="false">
      <c r="A426" s="5" t="s">
        <v>824</v>
      </c>
      <c r="B426" s="5" t="s">
        <v>60</v>
      </c>
      <c r="C426" s="5" t="s">
        <v>48</v>
      </c>
      <c r="D426" s="5" t="s">
        <v>519</v>
      </c>
      <c r="E426" s="5" t="s">
        <v>707</v>
      </c>
      <c r="F426" s="5" t="s">
        <v>57</v>
      </c>
      <c r="G426" s="5" t="s">
        <v>58</v>
      </c>
      <c r="H426" s="5" t="n">
        <v>0</v>
      </c>
      <c r="I426" s="5" t="n">
        <v>0</v>
      </c>
      <c r="J426" s="5" t="n">
        <v>28</v>
      </c>
      <c r="K426" s="5" t="n">
        <v>20</v>
      </c>
      <c r="L426" s="5" t="n">
        <f aca="false">J426-K426</f>
        <v>8</v>
      </c>
      <c r="M426" s="11" t="n">
        <f aca="false">IF(J426=0,0,K426/J426)</f>
        <v>0.714285714285714</v>
      </c>
    </row>
    <row r="427" customFormat="false" ht="15" hidden="false" customHeight="false" outlineLevel="0" collapsed="false">
      <c r="A427" s="5" t="s">
        <v>825</v>
      </c>
      <c r="B427" s="5" t="s">
        <v>60</v>
      </c>
      <c r="C427" s="5" t="s">
        <v>48</v>
      </c>
      <c r="D427" s="5" t="s">
        <v>519</v>
      </c>
      <c r="E427" s="5" t="s">
        <v>427</v>
      </c>
      <c r="F427" s="5" t="s">
        <v>57</v>
      </c>
      <c r="G427" s="5" t="s">
        <v>58</v>
      </c>
      <c r="H427" s="5" t="n">
        <v>0</v>
      </c>
      <c r="I427" s="5" t="n">
        <v>0</v>
      </c>
      <c r="J427" s="5" t="n">
        <v>36</v>
      </c>
      <c r="K427" s="5" t="n">
        <v>14</v>
      </c>
      <c r="L427" s="5" t="n">
        <f aca="false">J427-K427</f>
        <v>22</v>
      </c>
      <c r="M427" s="11" t="n">
        <f aca="false">IF(J427=0,0,K427/J427)</f>
        <v>0.388888888888889</v>
      </c>
    </row>
    <row r="428" customFormat="false" ht="15" hidden="false" customHeight="false" outlineLevel="0" collapsed="false">
      <c r="A428" s="5" t="s">
        <v>826</v>
      </c>
      <c r="B428" s="5" t="s">
        <v>60</v>
      </c>
      <c r="C428" s="5" t="s">
        <v>48</v>
      </c>
      <c r="D428" s="5" t="s">
        <v>827</v>
      </c>
      <c r="E428" s="5" t="s">
        <v>206</v>
      </c>
      <c r="F428" s="5" t="s">
        <v>57</v>
      </c>
      <c r="G428" s="5" t="s">
        <v>58</v>
      </c>
      <c r="H428" s="5" t="n">
        <v>0</v>
      </c>
      <c r="I428" s="5" t="n">
        <v>0</v>
      </c>
      <c r="J428" s="5" t="n">
        <v>54</v>
      </c>
      <c r="K428" s="5" t="n">
        <v>36</v>
      </c>
      <c r="L428" s="5" t="n">
        <f aca="false">J428-K428</f>
        <v>18</v>
      </c>
      <c r="M428" s="11" t="n">
        <f aca="false">IF(J428=0,0,K428/J428)</f>
        <v>0.666666666666667</v>
      </c>
    </row>
    <row r="429" customFormat="false" ht="15" hidden="false" customHeight="false" outlineLevel="0" collapsed="false">
      <c r="A429" s="5" t="s">
        <v>828</v>
      </c>
      <c r="B429" s="5" t="s">
        <v>60</v>
      </c>
      <c r="C429" s="5" t="s">
        <v>48</v>
      </c>
      <c r="D429" s="5" t="s">
        <v>829</v>
      </c>
      <c r="E429" s="5" t="s">
        <v>249</v>
      </c>
      <c r="F429" s="5" t="s">
        <v>57</v>
      </c>
      <c r="G429" s="5" t="s">
        <v>58</v>
      </c>
      <c r="H429" s="5" t="n">
        <v>0</v>
      </c>
      <c r="I429" s="5" t="n">
        <v>0</v>
      </c>
      <c r="J429" s="5" t="n">
        <v>18</v>
      </c>
      <c r="K429" s="5" t="n">
        <v>17</v>
      </c>
      <c r="L429" s="5" t="n">
        <f aca="false">J429-K429</f>
        <v>1</v>
      </c>
      <c r="M429" s="11" t="n">
        <f aca="false">IF(J429=0,0,K429/J429)</f>
        <v>0.944444444444444</v>
      </c>
    </row>
    <row r="430" customFormat="false" ht="15" hidden="false" customHeight="false" outlineLevel="0" collapsed="false">
      <c r="A430" s="5" t="s">
        <v>830</v>
      </c>
      <c r="B430" s="5" t="s">
        <v>475</v>
      </c>
      <c r="C430" s="5" t="s">
        <v>48</v>
      </c>
      <c r="D430" s="5" t="s">
        <v>56</v>
      </c>
      <c r="E430" s="5" t="s">
        <v>831</v>
      </c>
      <c r="F430" s="5" t="s">
        <v>51</v>
      </c>
      <c r="G430" s="5" t="s">
        <v>52</v>
      </c>
      <c r="H430" s="5" t="n">
        <v>5</v>
      </c>
      <c r="I430" s="5" t="n">
        <v>5</v>
      </c>
      <c r="J430" s="5" t="n">
        <v>7</v>
      </c>
      <c r="K430" s="5" t="n">
        <v>7</v>
      </c>
      <c r="L430" s="5" t="n">
        <f aca="false">J430-K430</f>
        <v>0</v>
      </c>
      <c r="M430" s="11" t="n">
        <f aca="false">IF(J430=0,0,K430/J430)</f>
        <v>1</v>
      </c>
    </row>
    <row r="431" customFormat="false" ht="15" hidden="false" customHeight="false" outlineLevel="0" collapsed="false">
      <c r="A431" s="5" t="s">
        <v>832</v>
      </c>
      <c r="B431" s="5" t="s">
        <v>475</v>
      </c>
      <c r="C431" s="5" t="s">
        <v>48</v>
      </c>
      <c r="D431" s="5" t="s">
        <v>56</v>
      </c>
      <c r="E431" s="5" t="s">
        <v>833</v>
      </c>
      <c r="F431" s="5" t="s">
        <v>51</v>
      </c>
      <c r="G431" s="5" t="s">
        <v>52</v>
      </c>
      <c r="H431" s="5" t="n">
        <v>5</v>
      </c>
      <c r="I431" s="5" t="n">
        <v>5</v>
      </c>
      <c r="J431" s="5" t="n">
        <v>7</v>
      </c>
      <c r="K431" s="5" t="n">
        <v>7</v>
      </c>
      <c r="L431" s="5" t="n">
        <f aca="false">J431-K431</f>
        <v>0</v>
      </c>
      <c r="M431" s="11" t="n">
        <f aca="false">IF(J431=0,0,K431/J431)</f>
        <v>1</v>
      </c>
    </row>
    <row r="432" customFormat="false" ht="15" hidden="false" customHeight="false" outlineLevel="0" collapsed="false">
      <c r="A432" s="5" t="s">
        <v>834</v>
      </c>
      <c r="B432" s="5" t="s">
        <v>475</v>
      </c>
      <c r="C432" s="5" t="s">
        <v>48</v>
      </c>
      <c r="D432" s="5" t="s">
        <v>56</v>
      </c>
      <c r="E432" s="5" t="s">
        <v>835</v>
      </c>
      <c r="F432" s="5" t="s">
        <v>51</v>
      </c>
      <c r="G432" s="5" t="s">
        <v>52</v>
      </c>
      <c r="H432" s="5" t="n">
        <v>4</v>
      </c>
      <c r="I432" s="5" t="n">
        <v>4</v>
      </c>
      <c r="J432" s="5" t="n">
        <v>7</v>
      </c>
      <c r="K432" s="5" t="n">
        <v>7</v>
      </c>
      <c r="L432" s="5" t="n">
        <f aca="false">J432-K432</f>
        <v>0</v>
      </c>
      <c r="M432" s="11" t="n">
        <f aca="false">IF(J432=0,0,K432/J432)</f>
        <v>1</v>
      </c>
    </row>
    <row r="433" customFormat="false" ht="15" hidden="false" customHeight="false" outlineLevel="0" collapsed="false">
      <c r="A433" s="5" t="s">
        <v>836</v>
      </c>
      <c r="B433" s="5" t="s">
        <v>475</v>
      </c>
      <c r="C433" s="5" t="s">
        <v>48</v>
      </c>
      <c r="D433" s="5" t="s">
        <v>56</v>
      </c>
      <c r="E433" s="5" t="s">
        <v>288</v>
      </c>
      <c r="F433" s="5" t="s">
        <v>51</v>
      </c>
      <c r="G433" s="5" t="s">
        <v>52</v>
      </c>
      <c r="H433" s="5" t="n">
        <v>4</v>
      </c>
      <c r="I433" s="5" t="n">
        <v>4</v>
      </c>
      <c r="J433" s="5" t="n">
        <v>7</v>
      </c>
      <c r="K433" s="5" t="n">
        <v>7</v>
      </c>
      <c r="L433" s="5" t="n">
        <f aca="false">J433-K433</f>
        <v>0</v>
      </c>
      <c r="M433" s="11" t="n">
        <f aca="false">IF(J433=0,0,K433/J433)</f>
        <v>1</v>
      </c>
    </row>
    <row r="434" customFormat="false" ht="15" hidden="false" customHeight="false" outlineLevel="0" collapsed="false">
      <c r="A434" s="5" t="s">
        <v>837</v>
      </c>
      <c r="B434" s="5" t="s">
        <v>60</v>
      </c>
      <c r="C434" s="5" t="s">
        <v>48</v>
      </c>
      <c r="D434" s="5" t="s">
        <v>838</v>
      </c>
      <c r="E434" s="5" t="s">
        <v>411</v>
      </c>
      <c r="F434" s="5" t="s">
        <v>57</v>
      </c>
      <c r="G434" s="5" t="s">
        <v>58</v>
      </c>
      <c r="H434" s="5" t="n">
        <v>0</v>
      </c>
      <c r="I434" s="5" t="n">
        <v>0</v>
      </c>
      <c r="J434" s="5" t="n">
        <v>27</v>
      </c>
      <c r="K434" s="5" t="n">
        <v>19</v>
      </c>
      <c r="L434" s="5" t="n">
        <f aca="false">J434-K434</f>
        <v>8</v>
      </c>
      <c r="M434" s="11" t="n">
        <f aca="false">IF(J434=0,0,K434/J434)</f>
        <v>0.703703703703704</v>
      </c>
    </row>
    <row r="435" customFormat="false" ht="15" hidden="false" customHeight="false" outlineLevel="0" collapsed="false">
      <c r="A435" s="5" t="s">
        <v>839</v>
      </c>
      <c r="B435" s="5" t="s">
        <v>840</v>
      </c>
      <c r="C435" s="5" t="s">
        <v>48</v>
      </c>
      <c r="D435" s="5" t="s">
        <v>841</v>
      </c>
      <c r="E435" s="5" t="s">
        <v>206</v>
      </c>
      <c r="F435" s="5" t="s">
        <v>842</v>
      </c>
      <c r="G435" s="5" t="s">
        <v>52</v>
      </c>
      <c r="H435" s="5" t="n">
        <v>1</v>
      </c>
      <c r="I435" s="5" t="n">
        <v>1</v>
      </c>
      <c r="J435" s="5" t="n">
        <v>15</v>
      </c>
      <c r="K435" s="5" t="n">
        <v>11</v>
      </c>
      <c r="L435" s="5" t="n">
        <f aca="false">J435-K435</f>
        <v>4</v>
      </c>
      <c r="M435" s="11" t="n">
        <f aca="false">IF(J435=0,0,K435/J435)</f>
        <v>0.733333333333333</v>
      </c>
    </row>
    <row r="436" customFormat="false" ht="15" hidden="false" customHeight="false" outlineLevel="0" collapsed="false">
      <c r="A436" s="5" t="s">
        <v>843</v>
      </c>
      <c r="B436" s="5" t="s">
        <v>60</v>
      </c>
      <c r="C436" s="5" t="s">
        <v>48</v>
      </c>
      <c r="D436" s="5" t="s">
        <v>844</v>
      </c>
      <c r="E436" s="5" t="s">
        <v>845</v>
      </c>
      <c r="F436" s="5" t="s">
        <v>57</v>
      </c>
      <c r="G436" s="5" t="s">
        <v>58</v>
      </c>
      <c r="H436" s="5" t="n">
        <v>0</v>
      </c>
      <c r="I436" s="5" t="n">
        <v>0</v>
      </c>
      <c r="J436" s="5" t="n">
        <v>24</v>
      </c>
      <c r="K436" s="5" t="n">
        <v>17</v>
      </c>
      <c r="L436" s="5" t="n">
        <f aca="false">J436-K436</f>
        <v>7</v>
      </c>
      <c r="M436" s="11" t="n">
        <f aca="false">IF(J436=0,0,K436/J436)</f>
        <v>0.708333333333333</v>
      </c>
    </row>
    <row r="437" customFormat="false" ht="15" hidden="false" customHeight="false" outlineLevel="0" collapsed="false">
      <c r="A437" s="5" t="s">
        <v>846</v>
      </c>
      <c r="B437" s="5" t="s">
        <v>60</v>
      </c>
      <c r="C437" s="5" t="s">
        <v>48</v>
      </c>
      <c r="D437" s="5" t="s">
        <v>62</v>
      </c>
      <c r="E437" s="5" t="s">
        <v>822</v>
      </c>
      <c r="F437" s="5" t="s">
        <v>57</v>
      </c>
      <c r="G437" s="5" t="s">
        <v>58</v>
      </c>
      <c r="H437" s="5" t="n">
        <v>0</v>
      </c>
      <c r="I437" s="5" t="n">
        <v>0</v>
      </c>
      <c r="J437" s="5" t="n">
        <v>32</v>
      </c>
      <c r="K437" s="5" t="n">
        <v>20</v>
      </c>
      <c r="L437" s="5" t="n">
        <f aca="false">J437-K437</f>
        <v>12</v>
      </c>
      <c r="M437" s="11" t="n">
        <f aca="false">IF(J437=0,0,K437/J437)</f>
        <v>0.625</v>
      </c>
    </row>
    <row r="438" customFormat="false" ht="15" hidden="false" customHeight="false" outlineLevel="0" collapsed="false">
      <c r="A438" s="5" t="s">
        <v>847</v>
      </c>
      <c r="B438" s="5" t="s">
        <v>104</v>
      </c>
      <c r="C438" s="5" t="s">
        <v>48</v>
      </c>
      <c r="D438" s="5" t="s">
        <v>537</v>
      </c>
      <c r="E438" s="5" t="s">
        <v>106</v>
      </c>
      <c r="F438" s="5" t="s">
        <v>57</v>
      </c>
      <c r="G438" s="5" t="s">
        <v>58</v>
      </c>
      <c r="H438" s="5" t="n">
        <v>0</v>
      </c>
      <c r="I438" s="5" t="n">
        <v>0</v>
      </c>
      <c r="J438" s="5" t="n">
        <v>5</v>
      </c>
      <c r="K438" s="5" t="n">
        <v>5</v>
      </c>
      <c r="L438" s="5" t="n">
        <f aca="false">J438-K438</f>
        <v>0</v>
      </c>
      <c r="M438" s="11" t="n">
        <f aca="false">IF(J438=0,0,K438/J438)</f>
        <v>1</v>
      </c>
    </row>
    <row r="439" customFormat="false" ht="15" hidden="false" customHeight="false" outlineLevel="0" collapsed="false">
      <c r="A439" s="5" t="s">
        <v>848</v>
      </c>
      <c r="B439" s="5" t="s">
        <v>60</v>
      </c>
      <c r="C439" s="5" t="s">
        <v>48</v>
      </c>
      <c r="D439" s="5" t="s">
        <v>849</v>
      </c>
      <c r="E439" s="5" t="s">
        <v>64</v>
      </c>
      <c r="F439" s="5" t="s">
        <v>57</v>
      </c>
      <c r="G439" s="5" t="s">
        <v>58</v>
      </c>
      <c r="H439" s="5" t="n">
        <v>0</v>
      </c>
      <c r="I439" s="5" t="n">
        <v>0</v>
      </c>
      <c r="J439" s="5" t="n">
        <v>8</v>
      </c>
      <c r="K439" s="5" t="n">
        <v>6</v>
      </c>
      <c r="L439" s="5" t="n">
        <f aca="false">J439-K439</f>
        <v>2</v>
      </c>
      <c r="M439" s="11" t="n">
        <f aca="false">IF(J439=0,0,K439/J439)</f>
        <v>0.75</v>
      </c>
    </row>
    <row r="440" customFormat="false" ht="15" hidden="false" customHeight="false" outlineLevel="0" collapsed="false">
      <c r="A440" s="5" t="s">
        <v>850</v>
      </c>
      <c r="B440" s="5" t="s">
        <v>60</v>
      </c>
      <c r="C440" s="5" t="s">
        <v>48</v>
      </c>
      <c r="D440" s="5" t="s">
        <v>315</v>
      </c>
      <c r="E440" s="5" t="s">
        <v>851</v>
      </c>
      <c r="F440" s="5" t="s">
        <v>57</v>
      </c>
      <c r="G440" s="5" t="s">
        <v>58</v>
      </c>
      <c r="H440" s="5" t="n">
        <v>0</v>
      </c>
      <c r="I440" s="5" t="n">
        <v>0</v>
      </c>
      <c r="J440" s="5" t="n">
        <v>15</v>
      </c>
      <c r="K440" s="5" t="n">
        <v>12</v>
      </c>
      <c r="L440" s="5" t="n">
        <f aca="false">J440-K440</f>
        <v>3</v>
      </c>
      <c r="M440" s="11" t="n">
        <f aca="false">IF(J440=0,0,K440/J440)</f>
        <v>0.8</v>
      </c>
    </row>
    <row r="441" customFormat="false" ht="15" hidden="false" customHeight="false" outlineLevel="0" collapsed="false">
      <c r="A441" s="5" t="s">
        <v>852</v>
      </c>
      <c r="B441" s="5" t="s">
        <v>60</v>
      </c>
      <c r="C441" s="5" t="s">
        <v>48</v>
      </c>
      <c r="D441" s="5" t="s">
        <v>497</v>
      </c>
      <c r="E441" s="5" t="s">
        <v>64</v>
      </c>
      <c r="F441" s="5" t="s">
        <v>57</v>
      </c>
      <c r="G441" s="5" t="s">
        <v>58</v>
      </c>
      <c r="H441" s="5" t="n">
        <v>0</v>
      </c>
      <c r="I441" s="5" t="n">
        <v>0</v>
      </c>
      <c r="J441" s="5" t="n">
        <v>10</v>
      </c>
      <c r="K441" s="5" t="n">
        <v>8</v>
      </c>
      <c r="L441" s="5" t="n">
        <f aca="false">J441-K441</f>
        <v>2</v>
      </c>
      <c r="M441" s="11" t="n">
        <f aca="false">IF(J441=0,0,K441/J441)</f>
        <v>0.8</v>
      </c>
    </row>
    <row r="442" customFormat="false" ht="15" hidden="false" customHeight="false" outlineLevel="0" collapsed="false">
      <c r="A442" s="5" t="s">
        <v>853</v>
      </c>
      <c r="B442" s="5" t="s">
        <v>60</v>
      </c>
      <c r="C442" s="5" t="s">
        <v>48</v>
      </c>
      <c r="D442" s="5" t="s">
        <v>349</v>
      </c>
      <c r="E442" s="5" t="s">
        <v>854</v>
      </c>
      <c r="F442" s="5" t="s">
        <v>57</v>
      </c>
      <c r="G442" s="5" t="s">
        <v>58</v>
      </c>
      <c r="H442" s="5" t="n">
        <v>0</v>
      </c>
      <c r="I442" s="5" t="n">
        <v>0</v>
      </c>
      <c r="J442" s="5" t="n">
        <v>8</v>
      </c>
      <c r="K442" s="5" t="n">
        <v>8</v>
      </c>
      <c r="L442" s="5" t="n">
        <f aca="false">J442-K442</f>
        <v>0</v>
      </c>
      <c r="M442" s="11" t="n">
        <f aca="false">IF(J442=0,0,K442/J442)</f>
        <v>1</v>
      </c>
    </row>
    <row r="443" customFormat="false" ht="15" hidden="false" customHeight="false" outlineLevel="0" collapsed="false">
      <c r="A443" s="5" t="s">
        <v>855</v>
      </c>
      <c r="B443" s="5" t="s">
        <v>60</v>
      </c>
      <c r="C443" s="5" t="s">
        <v>48</v>
      </c>
      <c r="D443" s="5" t="s">
        <v>856</v>
      </c>
      <c r="E443" s="5" t="s">
        <v>857</v>
      </c>
      <c r="F443" s="5" t="s">
        <v>57</v>
      </c>
      <c r="G443" s="5" t="s">
        <v>58</v>
      </c>
      <c r="H443" s="5" t="n">
        <v>0</v>
      </c>
      <c r="I443" s="5" t="n">
        <v>0</v>
      </c>
      <c r="J443" s="5" t="n">
        <v>23</v>
      </c>
      <c r="K443" s="5" t="n">
        <v>16</v>
      </c>
      <c r="L443" s="5" t="n">
        <f aca="false">J443-K443</f>
        <v>7</v>
      </c>
      <c r="M443" s="11" t="n">
        <f aca="false">IF(J443=0,0,K443/J443)</f>
        <v>0.695652173913044</v>
      </c>
    </row>
    <row r="444" customFormat="false" ht="15" hidden="false" customHeight="false" outlineLevel="0" collapsed="false">
      <c r="A444" s="5" t="s">
        <v>858</v>
      </c>
      <c r="B444" s="5" t="s">
        <v>60</v>
      </c>
      <c r="C444" s="5" t="s">
        <v>48</v>
      </c>
      <c r="D444" s="5" t="s">
        <v>859</v>
      </c>
      <c r="E444" s="5" t="s">
        <v>857</v>
      </c>
      <c r="F444" s="5" t="s">
        <v>57</v>
      </c>
      <c r="G444" s="5" t="s">
        <v>58</v>
      </c>
      <c r="H444" s="5" t="n">
        <v>0</v>
      </c>
      <c r="I444" s="5" t="n">
        <v>0</v>
      </c>
      <c r="J444" s="5" t="n">
        <v>23</v>
      </c>
      <c r="K444" s="5" t="n">
        <v>15</v>
      </c>
      <c r="L444" s="5" t="n">
        <f aca="false">J444-K444</f>
        <v>8</v>
      </c>
      <c r="M444" s="11" t="n">
        <f aca="false">IF(J444=0,0,K444/J444)</f>
        <v>0.652173913043478</v>
      </c>
    </row>
    <row r="445" customFormat="false" ht="15" hidden="false" customHeight="false" outlineLevel="0" collapsed="false">
      <c r="A445" s="5" t="s">
        <v>860</v>
      </c>
      <c r="B445" s="5" t="s">
        <v>60</v>
      </c>
      <c r="C445" s="5" t="s">
        <v>48</v>
      </c>
      <c r="D445" s="5" t="s">
        <v>323</v>
      </c>
      <c r="E445" s="5" t="s">
        <v>64</v>
      </c>
      <c r="F445" s="5" t="s">
        <v>57</v>
      </c>
      <c r="G445" s="5" t="s">
        <v>58</v>
      </c>
      <c r="H445" s="5" t="n">
        <v>0</v>
      </c>
      <c r="I445" s="5" t="n">
        <v>0</v>
      </c>
      <c r="J445" s="5" t="n">
        <v>12</v>
      </c>
      <c r="K445" s="5" t="n">
        <v>9</v>
      </c>
      <c r="L445" s="5" t="n">
        <f aca="false">J445-K445</f>
        <v>3</v>
      </c>
      <c r="M445" s="11" t="n">
        <f aca="false">IF(J445=0,0,K445/J445)</f>
        <v>0.75</v>
      </c>
    </row>
    <row r="446" customFormat="false" ht="15" hidden="false" customHeight="false" outlineLevel="0" collapsed="false">
      <c r="A446" s="5" t="s">
        <v>861</v>
      </c>
      <c r="B446" s="5" t="s">
        <v>60</v>
      </c>
      <c r="C446" s="5" t="s">
        <v>48</v>
      </c>
      <c r="D446" s="5" t="s">
        <v>862</v>
      </c>
      <c r="E446" s="5" t="s">
        <v>863</v>
      </c>
      <c r="F446" s="5" t="s">
        <v>57</v>
      </c>
      <c r="G446" s="5" t="s">
        <v>58</v>
      </c>
      <c r="H446" s="5" t="n">
        <v>0</v>
      </c>
      <c r="I446" s="5" t="n">
        <v>0</v>
      </c>
      <c r="J446" s="5" t="n">
        <v>15</v>
      </c>
      <c r="K446" s="5" t="n">
        <v>12</v>
      </c>
      <c r="L446" s="5" t="n">
        <f aca="false">J446-K446</f>
        <v>3</v>
      </c>
      <c r="M446" s="11" t="n">
        <f aca="false">IF(J446=0,0,K446/J446)</f>
        <v>0.8</v>
      </c>
    </row>
    <row r="447" customFormat="false" ht="15" hidden="false" customHeight="false" outlineLevel="0" collapsed="false">
      <c r="A447" s="5" t="s">
        <v>864</v>
      </c>
      <c r="B447" s="5" t="s">
        <v>60</v>
      </c>
      <c r="C447" s="5" t="s">
        <v>48</v>
      </c>
      <c r="D447" s="5" t="s">
        <v>849</v>
      </c>
      <c r="E447" s="5" t="s">
        <v>64</v>
      </c>
      <c r="F447" s="5" t="s">
        <v>57</v>
      </c>
      <c r="G447" s="5" t="s">
        <v>58</v>
      </c>
      <c r="H447" s="5" t="n">
        <v>0</v>
      </c>
      <c r="I447" s="5" t="n">
        <v>0</v>
      </c>
      <c r="J447" s="5" t="n">
        <v>8</v>
      </c>
      <c r="K447" s="5" t="n">
        <v>6</v>
      </c>
      <c r="L447" s="5" t="n">
        <f aca="false">J447-K447</f>
        <v>2</v>
      </c>
      <c r="M447" s="11" t="n">
        <f aca="false">IF(J447=0,0,K447/J447)</f>
        <v>0.75</v>
      </c>
    </row>
    <row r="448" customFormat="false" ht="15" hidden="false" customHeight="false" outlineLevel="0" collapsed="false">
      <c r="A448" s="5" t="s">
        <v>865</v>
      </c>
      <c r="B448" s="5" t="s">
        <v>60</v>
      </c>
      <c r="C448" s="5" t="s">
        <v>48</v>
      </c>
      <c r="D448" s="5" t="s">
        <v>330</v>
      </c>
      <c r="E448" s="5" t="s">
        <v>100</v>
      </c>
      <c r="F448" s="5" t="s">
        <v>57</v>
      </c>
      <c r="G448" s="5" t="s">
        <v>58</v>
      </c>
      <c r="H448" s="5" t="n">
        <v>0</v>
      </c>
      <c r="I448" s="5" t="n">
        <v>0</v>
      </c>
      <c r="J448" s="5" t="n">
        <v>26</v>
      </c>
      <c r="K448" s="5" t="n">
        <v>18</v>
      </c>
      <c r="L448" s="5" t="n">
        <f aca="false">J448-K448</f>
        <v>8</v>
      </c>
      <c r="M448" s="11" t="n">
        <f aca="false">IF(J448=0,0,K448/J448)</f>
        <v>0.692307692307692</v>
      </c>
    </row>
    <row r="449" customFormat="false" ht="15" hidden="false" customHeight="false" outlineLevel="0" collapsed="false">
      <c r="A449" s="5" t="s">
        <v>866</v>
      </c>
      <c r="B449" s="5" t="s">
        <v>60</v>
      </c>
      <c r="C449" s="5" t="s">
        <v>48</v>
      </c>
      <c r="D449" s="5" t="s">
        <v>867</v>
      </c>
      <c r="E449" s="5" t="s">
        <v>868</v>
      </c>
      <c r="F449" s="5" t="s">
        <v>57</v>
      </c>
      <c r="G449" s="5" t="s">
        <v>58</v>
      </c>
      <c r="H449" s="5" t="n">
        <v>0</v>
      </c>
      <c r="I449" s="5" t="n">
        <v>0</v>
      </c>
      <c r="J449" s="5" t="n">
        <v>26</v>
      </c>
      <c r="K449" s="5" t="n">
        <v>18</v>
      </c>
      <c r="L449" s="5" t="n">
        <f aca="false">J449-K449</f>
        <v>8</v>
      </c>
      <c r="M449" s="11" t="n">
        <f aca="false">IF(J449=0,0,K449/J449)</f>
        <v>0.692307692307692</v>
      </c>
    </row>
    <row r="450" customFormat="false" ht="15" hidden="false" customHeight="false" outlineLevel="0" collapsed="false">
      <c r="A450" s="5" t="s">
        <v>869</v>
      </c>
      <c r="B450" s="5" t="s">
        <v>60</v>
      </c>
      <c r="C450" s="5" t="s">
        <v>48</v>
      </c>
      <c r="D450" s="5" t="s">
        <v>349</v>
      </c>
      <c r="E450" s="5" t="s">
        <v>72</v>
      </c>
      <c r="F450" s="5" t="s">
        <v>57</v>
      </c>
      <c r="G450" s="5" t="s">
        <v>58</v>
      </c>
      <c r="H450" s="5" t="n">
        <v>0</v>
      </c>
      <c r="I450" s="5" t="n">
        <v>0</v>
      </c>
      <c r="J450" s="5" t="n">
        <v>15</v>
      </c>
      <c r="K450" s="5" t="n">
        <v>15</v>
      </c>
      <c r="L450" s="5" t="n">
        <f aca="false">J450-K450</f>
        <v>0</v>
      </c>
      <c r="M450" s="11" t="n">
        <f aca="false">IF(J450=0,0,K450/J450)</f>
        <v>1</v>
      </c>
    </row>
    <row r="451" customFormat="false" ht="15" hidden="false" customHeight="false" outlineLevel="0" collapsed="false">
      <c r="A451" s="5" t="s">
        <v>870</v>
      </c>
      <c r="B451" s="5" t="s">
        <v>104</v>
      </c>
      <c r="C451" s="5" t="s">
        <v>48</v>
      </c>
      <c r="D451" s="5" t="s">
        <v>105</v>
      </c>
      <c r="E451" s="5" t="s">
        <v>106</v>
      </c>
      <c r="F451" s="5" t="s">
        <v>57</v>
      </c>
      <c r="G451" s="5" t="s">
        <v>58</v>
      </c>
      <c r="H451" s="5" t="n">
        <v>0</v>
      </c>
      <c r="I451" s="5" t="n">
        <v>0</v>
      </c>
      <c r="J451" s="5" t="n">
        <v>3</v>
      </c>
      <c r="K451" s="5" t="n">
        <v>3</v>
      </c>
      <c r="L451" s="5" t="n">
        <f aca="false">J451-K451</f>
        <v>0</v>
      </c>
      <c r="M451" s="11" t="n">
        <f aca="false">IF(J451=0,0,K451/J451)</f>
        <v>1</v>
      </c>
    </row>
    <row r="452" customFormat="false" ht="15" hidden="false" customHeight="false" outlineLevel="0" collapsed="false">
      <c r="A452" s="5" t="s">
        <v>871</v>
      </c>
      <c r="B452" s="5" t="s">
        <v>60</v>
      </c>
      <c r="C452" s="5" t="s">
        <v>48</v>
      </c>
      <c r="D452" s="5" t="s">
        <v>344</v>
      </c>
      <c r="E452" s="5" t="s">
        <v>56</v>
      </c>
      <c r="F452" s="5" t="s">
        <v>57</v>
      </c>
      <c r="G452" s="5" t="s">
        <v>58</v>
      </c>
      <c r="H452" s="5" t="n">
        <v>0</v>
      </c>
      <c r="I452" s="5" t="n">
        <v>0</v>
      </c>
      <c r="J452" s="5" t="n">
        <v>17</v>
      </c>
      <c r="K452" s="5" t="n">
        <v>9</v>
      </c>
      <c r="L452" s="5" t="n">
        <f aca="false">J452-K452</f>
        <v>8</v>
      </c>
      <c r="M452" s="11" t="n">
        <f aca="false">IF(J452=0,0,K452/J452)</f>
        <v>0.529411764705882</v>
      </c>
    </row>
    <row r="453" customFormat="false" ht="15" hidden="false" customHeight="false" outlineLevel="0" collapsed="false">
      <c r="A453" s="5" t="s">
        <v>872</v>
      </c>
      <c r="B453" s="5" t="s">
        <v>60</v>
      </c>
      <c r="C453" s="5" t="s">
        <v>48</v>
      </c>
      <c r="D453" s="5" t="s">
        <v>873</v>
      </c>
      <c r="E453" s="5" t="s">
        <v>87</v>
      </c>
      <c r="F453" s="5" t="s">
        <v>57</v>
      </c>
      <c r="G453" s="5" t="s">
        <v>58</v>
      </c>
      <c r="H453" s="5" t="n">
        <v>0</v>
      </c>
      <c r="I453" s="5" t="n">
        <v>0</v>
      </c>
      <c r="J453" s="5" t="n">
        <v>10</v>
      </c>
      <c r="K453" s="5" t="n">
        <v>7</v>
      </c>
      <c r="L453" s="5" t="n">
        <f aca="false">J453-K453</f>
        <v>3</v>
      </c>
      <c r="M453" s="11" t="n">
        <f aca="false">IF(J453=0,0,K453/J453)</f>
        <v>0.7</v>
      </c>
    </row>
    <row r="454" customFormat="false" ht="15" hidden="false" customHeight="false" outlineLevel="0" collapsed="false">
      <c r="A454" s="5" t="s">
        <v>874</v>
      </c>
      <c r="B454" s="5" t="s">
        <v>60</v>
      </c>
      <c r="C454" s="5" t="s">
        <v>48</v>
      </c>
      <c r="D454" s="5" t="s">
        <v>491</v>
      </c>
      <c r="E454" s="5" t="s">
        <v>64</v>
      </c>
      <c r="F454" s="5" t="s">
        <v>57</v>
      </c>
      <c r="G454" s="5" t="s">
        <v>58</v>
      </c>
      <c r="H454" s="5" t="n">
        <v>0</v>
      </c>
      <c r="I454" s="5" t="n">
        <v>0</v>
      </c>
      <c r="J454" s="5" t="n">
        <v>13</v>
      </c>
      <c r="K454" s="5" t="n">
        <v>11</v>
      </c>
      <c r="L454" s="5" t="n">
        <f aca="false">J454-K454</f>
        <v>2</v>
      </c>
      <c r="M454" s="11" t="n">
        <f aca="false">IF(J454=0,0,K454/J454)</f>
        <v>0.846153846153846</v>
      </c>
    </row>
    <row r="455" customFormat="false" ht="15" hidden="false" customHeight="false" outlineLevel="0" collapsed="false">
      <c r="A455" s="5" t="s">
        <v>875</v>
      </c>
      <c r="B455" s="5" t="s">
        <v>60</v>
      </c>
      <c r="C455" s="5" t="s">
        <v>48</v>
      </c>
      <c r="D455" s="5" t="s">
        <v>876</v>
      </c>
      <c r="E455" s="5" t="s">
        <v>352</v>
      </c>
      <c r="F455" s="5" t="s">
        <v>57</v>
      </c>
      <c r="G455" s="5" t="s">
        <v>58</v>
      </c>
      <c r="H455" s="5" t="n">
        <v>0</v>
      </c>
      <c r="I455" s="5" t="n">
        <v>0</v>
      </c>
      <c r="J455" s="5" t="n">
        <v>17</v>
      </c>
      <c r="K455" s="5" t="n">
        <v>14</v>
      </c>
      <c r="L455" s="5" t="n">
        <f aca="false">J455-K455</f>
        <v>3</v>
      </c>
      <c r="M455" s="11" t="n">
        <f aca="false">IF(J455=0,0,K455/J455)</f>
        <v>0.823529411764706</v>
      </c>
    </row>
    <row r="456" customFormat="false" ht="15" hidden="false" customHeight="false" outlineLevel="0" collapsed="false">
      <c r="A456" s="5" t="s">
        <v>877</v>
      </c>
      <c r="B456" s="5" t="s">
        <v>60</v>
      </c>
      <c r="C456" s="5" t="s">
        <v>48</v>
      </c>
      <c r="D456" s="5" t="s">
        <v>349</v>
      </c>
      <c r="E456" s="5" t="s">
        <v>878</v>
      </c>
      <c r="F456" s="5" t="s">
        <v>57</v>
      </c>
      <c r="G456" s="5" t="s">
        <v>58</v>
      </c>
      <c r="H456" s="5" t="n">
        <v>0</v>
      </c>
      <c r="I456" s="5" t="n">
        <v>0</v>
      </c>
      <c r="J456" s="5" t="n">
        <v>11</v>
      </c>
      <c r="K456" s="5" t="n">
        <v>10</v>
      </c>
      <c r="L456" s="5" t="n">
        <f aca="false">J456-K456</f>
        <v>1</v>
      </c>
      <c r="M456" s="11" t="n">
        <f aca="false">IF(J456=0,0,K456/J456)</f>
        <v>0.909090909090909</v>
      </c>
    </row>
    <row r="457" customFormat="false" ht="15" hidden="false" customHeight="false" outlineLevel="0" collapsed="false">
      <c r="A457" s="5" t="s">
        <v>879</v>
      </c>
      <c r="B457" s="5" t="s">
        <v>60</v>
      </c>
      <c r="C457" s="5" t="s">
        <v>48</v>
      </c>
      <c r="D457" s="5" t="s">
        <v>880</v>
      </c>
      <c r="E457" s="5" t="s">
        <v>164</v>
      </c>
      <c r="F457" s="5" t="s">
        <v>57</v>
      </c>
      <c r="G457" s="5" t="s">
        <v>58</v>
      </c>
      <c r="H457" s="5" t="n">
        <v>0</v>
      </c>
      <c r="I457" s="5" t="n">
        <v>0</v>
      </c>
      <c r="J457" s="5" t="n">
        <v>23</v>
      </c>
      <c r="K457" s="5" t="n">
        <v>18</v>
      </c>
      <c r="L457" s="5" t="n">
        <f aca="false">J457-K457</f>
        <v>5</v>
      </c>
      <c r="M457" s="11" t="n">
        <f aca="false">IF(J457=0,0,K457/J457)</f>
        <v>0.782608695652174</v>
      </c>
    </row>
    <row r="458" customFormat="false" ht="15" hidden="false" customHeight="false" outlineLevel="0" collapsed="false">
      <c r="A458" s="5" t="s">
        <v>881</v>
      </c>
      <c r="B458" s="5" t="s">
        <v>60</v>
      </c>
      <c r="C458" s="5" t="s">
        <v>48</v>
      </c>
      <c r="D458" s="5" t="s">
        <v>364</v>
      </c>
      <c r="E458" s="5" t="s">
        <v>64</v>
      </c>
      <c r="F458" s="5" t="s">
        <v>57</v>
      </c>
      <c r="G458" s="5" t="s">
        <v>58</v>
      </c>
      <c r="H458" s="5" t="n">
        <v>0</v>
      </c>
      <c r="I458" s="5" t="n">
        <v>0</v>
      </c>
      <c r="J458" s="5" t="n">
        <v>10</v>
      </c>
      <c r="K458" s="5" t="n">
        <v>9</v>
      </c>
      <c r="L458" s="5" t="n">
        <f aca="false">J458-K458</f>
        <v>1</v>
      </c>
      <c r="M458" s="11" t="n">
        <f aca="false">IF(J458=0,0,K458/J458)</f>
        <v>0.9</v>
      </c>
    </row>
    <row r="459" customFormat="false" ht="15" hidden="false" customHeight="false" outlineLevel="0" collapsed="false">
      <c r="A459" s="5" t="s">
        <v>882</v>
      </c>
      <c r="B459" s="5" t="s">
        <v>60</v>
      </c>
      <c r="C459" s="5" t="s">
        <v>48</v>
      </c>
      <c r="D459" s="5" t="s">
        <v>883</v>
      </c>
      <c r="E459" s="5" t="s">
        <v>64</v>
      </c>
      <c r="F459" s="5" t="s">
        <v>57</v>
      </c>
      <c r="G459" s="5" t="s">
        <v>58</v>
      </c>
      <c r="H459" s="5" t="n">
        <v>0</v>
      </c>
      <c r="I459" s="5" t="n">
        <v>0</v>
      </c>
      <c r="J459" s="5" t="n">
        <v>15</v>
      </c>
      <c r="K459" s="5" t="n">
        <v>12</v>
      </c>
      <c r="L459" s="5" t="n">
        <f aca="false">J459-K459</f>
        <v>3</v>
      </c>
      <c r="M459" s="11" t="n">
        <f aca="false">IF(J459=0,0,K459/J459)</f>
        <v>0.8</v>
      </c>
    </row>
    <row r="460" customFormat="false" ht="15" hidden="false" customHeight="false" outlineLevel="0" collapsed="false">
      <c r="A460" s="5" t="s">
        <v>884</v>
      </c>
      <c r="B460" s="5" t="s">
        <v>60</v>
      </c>
      <c r="C460" s="5" t="s">
        <v>48</v>
      </c>
      <c r="D460" s="5" t="s">
        <v>885</v>
      </c>
      <c r="E460" s="5" t="s">
        <v>886</v>
      </c>
      <c r="F460" s="5" t="s">
        <v>57</v>
      </c>
      <c r="G460" s="5" t="s">
        <v>58</v>
      </c>
      <c r="H460" s="5" t="n">
        <v>0</v>
      </c>
      <c r="I460" s="5" t="n">
        <v>0</v>
      </c>
      <c r="J460" s="5" t="n">
        <v>17</v>
      </c>
      <c r="K460" s="5" t="n">
        <v>13</v>
      </c>
      <c r="L460" s="5" t="n">
        <f aca="false">J460-K460</f>
        <v>4</v>
      </c>
      <c r="M460" s="11" t="n">
        <f aca="false">IF(J460=0,0,K460/J460)</f>
        <v>0.764705882352941</v>
      </c>
    </row>
    <row r="461" customFormat="false" ht="15" hidden="false" customHeight="false" outlineLevel="0" collapsed="false">
      <c r="A461" s="5" t="s">
        <v>887</v>
      </c>
      <c r="B461" s="5" t="s">
        <v>60</v>
      </c>
      <c r="C461" s="5" t="s">
        <v>48</v>
      </c>
      <c r="D461" s="5" t="s">
        <v>349</v>
      </c>
      <c r="E461" s="5" t="s">
        <v>888</v>
      </c>
      <c r="F461" s="5" t="s">
        <v>57</v>
      </c>
      <c r="G461" s="5" t="s">
        <v>58</v>
      </c>
      <c r="H461" s="5" t="n">
        <v>0</v>
      </c>
      <c r="I461" s="5" t="n">
        <v>0</v>
      </c>
      <c r="J461" s="5" t="n">
        <v>8</v>
      </c>
      <c r="K461" s="5" t="n">
        <v>8</v>
      </c>
      <c r="L461" s="5" t="n">
        <f aca="false">J461-K461</f>
        <v>0</v>
      </c>
      <c r="M461" s="11" t="n">
        <f aca="false">IF(J461=0,0,K461/J461)</f>
        <v>1</v>
      </c>
    </row>
    <row r="462" customFormat="false" ht="15" hidden="false" customHeight="false" outlineLevel="0" collapsed="false">
      <c r="A462" s="5" t="s">
        <v>889</v>
      </c>
      <c r="B462" s="5" t="s">
        <v>60</v>
      </c>
      <c r="C462" s="5" t="s">
        <v>48</v>
      </c>
      <c r="D462" s="5" t="s">
        <v>890</v>
      </c>
      <c r="E462" s="5" t="s">
        <v>56</v>
      </c>
      <c r="F462" s="5" t="s">
        <v>57</v>
      </c>
      <c r="G462" s="5" t="s">
        <v>58</v>
      </c>
      <c r="H462" s="5" t="n">
        <v>0</v>
      </c>
      <c r="I462" s="5" t="n">
        <v>0</v>
      </c>
      <c r="J462" s="5" t="n">
        <v>16</v>
      </c>
      <c r="K462" s="5" t="n">
        <v>11</v>
      </c>
      <c r="L462" s="5" t="n">
        <f aca="false">J462-K462</f>
        <v>5</v>
      </c>
      <c r="M462" s="11" t="n">
        <f aca="false">IF(J462=0,0,K462/J462)</f>
        <v>0.6875</v>
      </c>
    </row>
    <row r="463" customFormat="false" ht="15" hidden="false" customHeight="false" outlineLevel="0" collapsed="false">
      <c r="A463" s="5" t="s">
        <v>891</v>
      </c>
      <c r="B463" s="5" t="s">
        <v>60</v>
      </c>
      <c r="C463" s="5" t="s">
        <v>48</v>
      </c>
      <c r="D463" s="5" t="s">
        <v>892</v>
      </c>
      <c r="E463" s="5" t="s">
        <v>56</v>
      </c>
      <c r="F463" s="5" t="s">
        <v>57</v>
      </c>
      <c r="G463" s="5" t="s">
        <v>58</v>
      </c>
      <c r="H463" s="5" t="n">
        <v>0</v>
      </c>
      <c r="I463" s="5" t="n">
        <v>0</v>
      </c>
      <c r="J463" s="5" t="n">
        <v>14</v>
      </c>
      <c r="K463" s="5" t="n">
        <v>9</v>
      </c>
      <c r="L463" s="5" t="n">
        <f aca="false">J463-K463</f>
        <v>5</v>
      </c>
      <c r="M463" s="11" t="n">
        <f aca="false">IF(J463=0,0,K463/J463)</f>
        <v>0.642857142857143</v>
      </c>
    </row>
    <row r="464" customFormat="false" ht="15" hidden="false" customHeight="false" outlineLevel="0" collapsed="false">
      <c r="A464" s="5" t="s">
        <v>893</v>
      </c>
      <c r="B464" s="5" t="s">
        <v>60</v>
      </c>
      <c r="C464" s="5" t="s">
        <v>48</v>
      </c>
      <c r="D464" s="5" t="s">
        <v>359</v>
      </c>
      <c r="E464" s="5" t="s">
        <v>64</v>
      </c>
      <c r="F464" s="5" t="s">
        <v>57</v>
      </c>
      <c r="G464" s="5" t="s">
        <v>58</v>
      </c>
      <c r="H464" s="5" t="n">
        <v>0</v>
      </c>
      <c r="I464" s="5" t="n">
        <v>0</v>
      </c>
      <c r="J464" s="5" t="n">
        <v>9</v>
      </c>
      <c r="K464" s="5" t="n">
        <v>8</v>
      </c>
      <c r="L464" s="5" t="n">
        <f aca="false">J464-K464</f>
        <v>1</v>
      </c>
      <c r="M464" s="11" t="n">
        <f aca="false">IF(J464=0,0,K464/J464)</f>
        <v>0.888888888888889</v>
      </c>
    </row>
    <row r="465" customFormat="false" ht="15" hidden="false" customHeight="false" outlineLevel="0" collapsed="false">
      <c r="A465" s="5" t="s">
        <v>894</v>
      </c>
      <c r="B465" s="5" t="s">
        <v>60</v>
      </c>
      <c r="C465" s="5" t="s">
        <v>48</v>
      </c>
      <c r="D465" s="5" t="s">
        <v>565</v>
      </c>
      <c r="E465" s="5" t="s">
        <v>64</v>
      </c>
      <c r="F465" s="5" t="s">
        <v>57</v>
      </c>
      <c r="G465" s="5" t="s">
        <v>58</v>
      </c>
      <c r="H465" s="5" t="n">
        <v>0</v>
      </c>
      <c r="I465" s="5" t="n">
        <v>0</v>
      </c>
      <c r="J465" s="5" t="n">
        <v>11</v>
      </c>
      <c r="K465" s="5" t="n">
        <v>9</v>
      </c>
      <c r="L465" s="5" t="n">
        <f aca="false">J465-K465</f>
        <v>2</v>
      </c>
      <c r="M465" s="11" t="n">
        <f aca="false">IF(J465=0,0,K465/J465)</f>
        <v>0.818181818181818</v>
      </c>
    </row>
    <row r="466" customFormat="false" ht="15" hidden="false" customHeight="false" outlineLevel="0" collapsed="false">
      <c r="A466" s="5" t="s">
        <v>895</v>
      </c>
      <c r="B466" s="5" t="s">
        <v>60</v>
      </c>
      <c r="C466" s="5" t="s">
        <v>48</v>
      </c>
      <c r="D466" s="5" t="s">
        <v>896</v>
      </c>
      <c r="E466" s="5" t="s">
        <v>64</v>
      </c>
      <c r="F466" s="5" t="s">
        <v>57</v>
      </c>
      <c r="G466" s="5" t="s">
        <v>58</v>
      </c>
      <c r="H466" s="5" t="n">
        <v>0</v>
      </c>
      <c r="I466" s="5" t="n">
        <v>0</v>
      </c>
      <c r="J466" s="5" t="n">
        <v>10</v>
      </c>
      <c r="K466" s="5" t="n">
        <v>8</v>
      </c>
      <c r="L466" s="5" t="n">
        <f aca="false">J466-K466</f>
        <v>2</v>
      </c>
      <c r="M466" s="11" t="n">
        <f aca="false">IF(J466=0,0,K466/J466)</f>
        <v>0.8</v>
      </c>
    </row>
    <row r="467" customFormat="false" ht="15" hidden="false" customHeight="false" outlineLevel="0" collapsed="false">
      <c r="A467" s="5" t="s">
        <v>897</v>
      </c>
      <c r="B467" s="5" t="s">
        <v>60</v>
      </c>
      <c r="C467" s="5" t="s">
        <v>48</v>
      </c>
      <c r="D467" s="5" t="s">
        <v>898</v>
      </c>
      <c r="E467" s="5" t="s">
        <v>899</v>
      </c>
      <c r="F467" s="5" t="s">
        <v>57</v>
      </c>
      <c r="G467" s="5" t="s">
        <v>58</v>
      </c>
      <c r="H467" s="5" t="n">
        <v>0</v>
      </c>
      <c r="I467" s="5" t="n">
        <v>0</v>
      </c>
      <c r="J467" s="5" t="n">
        <v>29</v>
      </c>
      <c r="K467" s="5" t="n">
        <v>27</v>
      </c>
      <c r="L467" s="5" t="n">
        <f aca="false">J467-K467</f>
        <v>2</v>
      </c>
      <c r="M467" s="11" t="n">
        <f aca="false">IF(J467=0,0,K467/J467)</f>
        <v>0.931034482758621</v>
      </c>
    </row>
    <row r="468" customFormat="false" ht="15" hidden="false" customHeight="false" outlineLevel="0" collapsed="false">
      <c r="A468" s="5" t="s">
        <v>900</v>
      </c>
      <c r="B468" s="5" t="s">
        <v>60</v>
      </c>
      <c r="C468" s="5" t="s">
        <v>48</v>
      </c>
      <c r="D468" s="5" t="s">
        <v>901</v>
      </c>
      <c r="E468" s="5" t="s">
        <v>164</v>
      </c>
      <c r="F468" s="5" t="s">
        <v>57</v>
      </c>
      <c r="G468" s="5" t="s">
        <v>58</v>
      </c>
      <c r="H468" s="5" t="n">
        <v>0</v>
      </c>
      <c r="I468" s="5" t="n">
        <v>0</v>
      </c>
      <c r="J468" s="5" t="n">
        <v>25</v>
      </c>
      <c r="K468" s="5" t="n">
        <v>18</v>
      </c>
      <c r="L468" s="5" t="n">
        <f aca="false">J468-K468</f>
        <v>7</v>
      </c>
      <c r="M468" s="11" t="n">
        <f aca="false">IF(J468=0,0,K468/J468)</f>
        <v>0.72</v>
      </c>
    </row>
    <row r="469" customFormat="false" ht="15" hidden="false" customHeight="false" outlineLevel="0" collapsed="false">
      <c r="A469" s="5" t="s">
        <v>902</v>
      </c>
      <c r="B469" s="5" t="s">
        <v>60</v>
      </c>
      <c r="C469" s="5" t="s">
        <v>48</v>
      </c>
      <c r="D469" s="5" t="s">
        <v>317</v>
      </c>
      <c r="E469" s="5" t="s">
        <v>64</v>
      </c>
      <c r="F469" s="5" t="s">
        <v>57</v>
      </c>
      <c r="G469" s="5" t="s">
        <v>58</v>
      </c>
      <c r="H469" s="5" t="n">
        <v>0</v>
      </c>
      <c r="I469" s="5" t="n">
        <v>0</v>
      </c>
      <c r="J469" s="5" t="n">
        <v>12</v>
      </c>
      <c r="K469" s="5" t="n">
        <v>9</v>
      </c>
      <c r="L469" s="5" t="n">
        <f aca="false">J469-K469</f>
        <v>3</v>
      </c>
      <c r="M469" s="11" t="n">
        <f aca="false">IF(J469=0,0,K469/J469)</f>
        <v>0.75</v>
      </c>
    </row>
    <row r="470" customFormat="false" ht="15" hidden="false" customHeight="false" outlineLevel="0" collapsed="false">
      <c r="A470" s="5" t="s">
        <v>903</v>
      </c>
      <c r="B470" s="5" t="s">
        <v>60</v>
      </c>
      <c r="C470" s="5" t="s">
        <v>48</v>
      </c>
      <c r="D470" s="5" t="s">
        <v>898</v>
      </c>
      <c r="E470" s="5" t="s">
        <v>64</v>
      </c>
      <c r="F470" s="5" t="s">
        <v>57</v>
      </c>
      <c r="G470" s="5" t="s">
        <v>58</v>
      </c>
      <c r="H470" s="5" t="n">
        <v>0</v>
      </c>
      <c r="I470" s="5" t="n">
        <v>0</v>
      </c>
      <c r="J470" s="5" t="n">
        <v>13</v>
      </c>
      <c r="K470" s="5" t="n">
        <v>10</v>
      </c>
      <c r="L470" s="5" t="n">
        <f aca="false">J470-K470</f>
        <v>3</v>
      </c>
      <c r="M470" s="11" t="n">
        <f aca="false">IF(J470=0,0,K470/J470)</f>
        <v>0.769230769230769</v>
      </c>
    </row>
    <row r="471" customFormat="false" ht="15" hidden="false" customHeight="false" outlineLevel="0" collapsed="false">
      <c r="A471" s="5" t="s">
        <v>904</v>
      </c>
      <c r="B471" s="5" t="s">
        <v>60</v>
      </c>
      <c r="C471" s="5" t="s">
        <v>48</v>
      </c>
      <c r="D471" s="5" t="s">
        <v>905</v>
      </c>
      <c r="E471" s="5" t="s">
        <v>411</v>
      </c>
      <c r="F471" s="5" t="s">
        <v>57</v>
      </c>
      <c r="G471" s="5" t="s">
        <v>58</v>
      </c>
      <c r="H471" s="5" t="n">
        <v>0</v>
      </c>
      <c r="I471" s="5" t="n">
        <v>0</v>
      </c>
      <c r="J471" s="5" t="n">
        <v>11</v>
      </c>
      <c r="K471" s="5" t="n">
        <v>8</v>
      </c>
      <c r="L471" s="5" t="n">
        <f aca="false">J471-K471</f>
        <v>3</v>
      </c>
      <c r="M471" s="11" t="n">
        <f aca="false">IF(J471=0,0,K471/J471)</f>
        <v>0.727272727272727</v>
      </c>
    </row>
    <row r="472" customFormat="false" ht="15" hidden="false" customHeight="false" outlineLevel="0" collapsed="false">
      <c r="A472" s="5" t="s">
        <v>906</v>
      </c>
      <c r="B472" s="5" t="s">
        <v>60</v>
      </c>
      <c r="C472" s="5" t="s">
        <v>48</v>
      </c>
      <c r="D472" s="5" t="s">
        <v>907</v>
      </c>
      <c r="E472" s="5" t="s">
        <v>64</v>
      </c>
      <c r="F472" s="5" t="s">
        <v>57</v>
      </c>
      <c r="G472" s="5" t="s">
        <v>58</v>
      </c>
      <c r="H472" s="5" t="n">
        <v>0</v>
      </c>
      <c r="I472" s="5" t="n">
        <v>0</v>
      </c>
      <c r="J472" s="5" t="n">
        <v>10</v>
      </c>
      <c r="K472" s="5" t="n">
        <v>8</v>
      </c>
      <c r="L472" s="5" t="n">
        <f aca="false">J472-K472</f>
        <v>2</v>
      </c>
      <c r="M472" s="11" t="n">
        <f aca="false">IF(J472=0,0,K472/J472)</f>
        <v>0.8</v>
      </c>
    </row>
    <row r="473" customFormat="false" ht="15" hidden="false" customHeight="false" outlineLevel="0" collapsed="false">
      <c r="A473" s="5" t="s">
        <v>908</v>
      </c>
      <c r="B473" s="5" t="s">
        <v>104</v>
      </c>
      <c r="C473" s="5" t="s">
        <v>48</v>
      </c>
      <c r="D473" s="5" t="s">
        <v>537</v>
      </c>
      <c r="E473" s="5" t="s">
        <v>510</v>
      </c>
      <c r="F473" s="5" t="s">
        <v>57</v>
      </c>
      <c r="G473" s="5" t="s">
        <v>58</v>
      </c>
      <c r="H473" s="5" t="n">
        <v>0</v>
      </c>
      <c r="I473" s="5" t="n">
        <v>0</v>
      </c>
      <c r="J473" s="5" t="n">
        <v>5</v>
      </c>
      <c r="K473" s="5" t="n">
        <v>5</v>
      </c>
      <c r="L473" s="5" t="n">
        <f aca="false">J473-K473</f>
        <v>0</v>
      </c>
      <c r="M473" s="11" t="n">
        <f aca="false">IF(J473=0,0,K473/J473)</f>
        <v>1</v>
      </c>
    </row>
    <row r="474" customFormat="false" ht="15" hidden="false" customHeight="false" outlineLevel="0" collapsed="false">
      <c r="A474" s="5" t="s">
        <v>909</v>
      </c>
      <c r="B474" s="5" t="s">
        <v>54</v>
      </c>
      <c r="C474" s="5" t="s">
        <v>48</v>
      </c>
      <c r="D474" s="5" t="s">
        <v>910</v>
      </c>
      <c r="E474" s="5" t="s">
        <v>452</v>
      </c>
      <c r="F474" s="5" t="s">
        <v>57</v>
      </c>
      <c r="G474" s="5" t="s">
        <v>58</v>
      </c>
      <c r="H474" s="5" t="n">
        <v>0</v>
      </c>
      <c r="I474" s="5" t="n">
        <v>0</v>
      </c>
      <c r="J474" s="5" t="n">
        <v>39</v>
      </c>
      <c r="K474" s="5" t="n">
        <v>36</v>
      </c>
      <c r="L474" s="5" t="n">
        <f aca="false">J474-K474</f>
        <v>3</v>
      </c>
      <c r="M474" s="11" t="n">
        <f aca="false">IF(J474=0,0,K474/J474)</f>
        <v>0.923076923076923</v>
      </c>
    </row>
    <row r="475" customFormat="false" ht="15" hidden="false" customHeight="false" outlineLevel="0" collapsed="false">
      <c r="A475" s="5" t="s">
        <v>911</v>
      </c>
      <c r="B475" s="5" t="s">
        <v>54</v>
      </c>
      <c r="C475" s="5" t="s">
        <v>48</v>
      </c>
      <c r="D475" s="5" t="s">
        <v>287</v>
      </c>
      <c r="E475" s="5" t="s">
        <v>95</v>
      </c>
      <c r="F475" s="5" t="s">
        <v>57</v>
      </c>
      <c r="G475" s="5" t="s">
        <v>58</v>
      </c>
      <c r="H475" s="5" t="n">
        <v>0</v>
      </c>
      <c r="I475" s="5" t="n">
        <v>0</v>
      </c>
      <c r="J475" s="5" t="n">
        <v>21</v>
      </c>
      <c r="K475" s="5" t="n">
        <v>18</v>
      </c>
      <c r="L475" s="5" t="n">
        <f aca="false">J475-K475</f>
        <v>3</v>
      </c>
      <c r="M475" s="11" t="n">
        <f aca="false">IF(J475=0,0,K475/J475)</f>
        <v>0.857142857142857</v>
      </c>
    </row>
    <row r="476" customFormat="false" ht="15" hidden="false" customHeight="false" outlineLevel="0" collapsed="false">
      <c r="A476" s="5" t="s">
        <v>912</v>
      </c>
      <c r="B476" s="5" t="s">
        <v>54</v>
      </c>
      <c r="C476" s="5" t="s">
        <v>48</v>
      </c>
      <c r="D476" s="5" t="s">
        <v>913</v>
      </c>
      <c r="E476" s="5" t="s">
        <v>85</v>
      </c>
      <c r="F476" s="5" t="s">
        <v>57</v>
      </c>
      <c r="G476" s="5" t="s">
        <v>58</v>
      </c>
      <c r="H476" s="5" t="n">
        <v>0</v>
      </c>
      <c r="I476" s="5" t="n">
        <v>0</v>
      </c>
      <c r="J476" s="5" t="n">
        <v>22</v>
      </c>
      <c r="K476" s="5" t="n">
        <v>19</v>
      </c>
      <c r="L476" s="5" t="n">
        <f aca="false">J476-K476</f>
        <v>3</v>
      </c>
      <c r="M476" s="11" t="n">
        <f aca="false">IF(J476=0,0,K476/J476)</f>
        <v>0.863636363636364</v>
      </c>
    </row>
    <row r="477" customFormat="false" ht="15" hidden="false" customHeight="false" outlineLevel="0" collapsed="false">
      <c r="A477" s="5" t="s">
        <v>914</v>
      </c>
      <c r="B477" s="5" t="s">
        <v>60</v>
      </c>
      <c r="C477" s="5" t="s">
        <v>48</v>
      </c>
      <c r="D477" s="5" t="s">
        <v>309</v>
      </c>
      <c r="E477" s="5" t="s">
        <v>90</v>
      </c>
      <c r="F477" s="5" t="s">
        <v>57</v>
      </c>
      <c r="G477" s="5" t="s">
        <v>58</v>
      </c>
      <c r="H477" s="5" t="n">
        <v>0</v>
      </c>
      <c r="I477" s="5" t="n">
        <v>0</v>
      </c>
      <c r="J477" s="5" t="n">
        <v>16</v>
      </c>
      <c r="K477" s="5" t="n">
        <v>16</v>
      </c>
      <c r="L477" s="5" t="n">
        <f aca="false">J477-K477</f>
        <v>0</v>
      </c>
      <c r="M477" s="11" t="n">
        <f aca="false">IF(J477=0,0,K477/J477)</f>
        <v>1</v>
      </c>
    </row>
    <row r="478" customFormat="false" ht="15" hidden="false" customHeight="false" outlineLevel="0" collapsed="false">
      <c r="A478" s="5" t="s">
        <v>915</v>
      </c>
      <c r="B478" s="5" t="s">
        <v>60</v>
      </c>
      <c r="C478" s="5" t="s">
        <v>48</v>
      </c>
      <c r="D478" s="5" t="s">
        <v>220</v>
      </c>
      <c r="E478" s="5" t="s">
        <v>90</v>
      </c>
      <c r="F478" s="5" t="s">
        <v>57</v>
      </c>
      <c r="G478" s="5" t="s">
        <v>58</v>
      </c>
      <c r="H478" s="5" t="n">
        <v>0</v>
      </c>
      <c r="I478" s="5" t="n">
        <v>0</v>
      </c>
      <c r="J478" s="5" t="n">
        <v>19</v>
      </c>
      <c r="K478" s="5" t="n">
        <v>19</v>
      </c>
      <c r="L478" s="5" t="n">
        <f aca="false">J478-K478</f>
        <v>0</v>
      </c>
      <c r="M478" s="11" t="n">
        <f aca="false">IF(J478=0,0,K478/J478)</f>
        <v>1</v>
      </c>
    </row>
    <row r="479" customFormat="false" ht="15" hidden="false" customHeight="false" outlineLevel="0" collapsed="false">
      <c r="A479" s="5" t="s">
        <v>916</v>
      </c>
      <c r="B479" s="5" t="s">
        <v>60</v>
      </c>
      <c r="C479" s="5" t="s">
        <v>48</v>
      </c>
      <c r="D479" s="5" t="s">
        <v>287</v>
      </c>
      <c r="E479" s="5" t="s">
        <v>90</v>
      </c>
      <c r="F479" s="5" t="s">
        <v>57</v>
      </c>
      <c r="G479" s="5" t="s">
        <v>58</v>
      </c>
      <c r="H479" s="5" t="n">
        <v>0</v>
      </c>
      <c r="I479" s="5" t="n">
        <v>0</v>
      </c>
      <c r="J479" s="5" t="n">
        <v>17</v>
      </c>
      <c r="K479" s="5" t="n">
        <v>17</v>
      </c>
      <c r="L479" s="5" t="n">
        <f aca="false">J479-K479</f>
        <v>0</v>
      </c>
      <c r="M479" s="11" t="n">
        <f aca="false">IF(J479=0,0,K479/J479)</f>
        <v>1</v>
      </c>
    </row>
    <row r="480" customFormat="false" ht="15" hidden="false" customHeight="false" outlineLevel="0" collapsed="false">
      <c r="A480" s="5" t="s">
        <v>917</v>
      </c>
      <c r="B480" s="5" t="s">
        <v>60</v>
      </c>
      <c r="C480" s="5" t="s">
        <v>48</v>
      </c>
      <c r="D480" s="5" t="s">
        <v>471</v>
      </c>
      <c r="E480" s="5" t="s">
        <v>90</v>
      </c>
      <c r="F480" s="5" t="s">
        <v>57</v>
      </c>
      <c r="G480" s="5" t="s">
        <v>58</v>
      </c>
      <c r="H480" s="5" t="n">
        <v>0</v>
      </c>
      <c r="I480" s="5" t="n">
        <v>0</v>
      </c>
      <c r="J480" s="5" t="n">
        <v>13</v>
      </c>
      <c r="K480" s="5" t="n">
        <v>13</v>
      </c>
      <c r="L480" s="5" t="n">
        <f aca="false">J480-K480</f>
        <v>0</v>
      </c>
      <c r="M480" s="11" t="n">
        <f aca="false">IF(J480=0,0,K480/J480)</f>
        <v>1</v>
      </c>
    </row>
    <row r="481" customFormat="false" ht="15" hidden="false" customHeight="false" outlineLevel="0" collapsed="false">
      <c r="A481" s="5" t="s">
        <v>918</v>
      </c>
      <c r="B481" s="5" t="s">
        <v>60</v>
      </c>
      <c r="C481" s="5" t="s">
        <v>48</v>
      </c>
      <c r="D481" s="5" t="s">
        <v>919</v>
      </c>
      <c r="E481" s="5" t="s">
        <v>90</v>
      </c>
      <c r="F481" s="5" t="s">
        <v>57</v>
      </c>
      <c r="G481" s="5" t="s">
        <v>58</v>
      </c>
      <c r="H481" s="5" t="n">
        <v>0</v>
      </c>
      <c r="I481" s="5" t="n">
        <v>0</v>
      </c>
      <c r="J481" s="5" t="n">
        <v>13</v>
      </c>
      <c r="K481" s="5" t="n">
        <v>13</v>
      </c>
      <c r="L481" s="5" t="n">
        <f aca="false">J481-K481</f>
        <v>0</v>
      </c>
      <c r="M481" s="11" t="n">
        <f aca="false">IF(J481=0,0,K481/J481)</f>
        <v>1</v>
      </c>
    </row>
    <row r="482" customFormat="false" ht="15" hidden="false" customHeight="false" outlineLevel="0" collapsed="false">
      <c r="A482" s="5" t="s">
        <v>920</v>
      </c>
      <c r="B482" s="5" t="s">
        <v>60</v>
      </c>
      <c r="C482" s="5" t="s">
        <v>48</v>
      </c>
      <c r="D482" s="5" t="s">
        <v>921</v>
      </c>
      <c r="E482" s="5" t="s">
        <v>90</v>
      </c>
      <c r="F482" s="5" t="s">
        <v>57</v>
      </c>
      <c r="G482" s="5" t="s">
        <v>58</v>
      </c>
      <c r="H482" s="5" t="n">
        <v>0</v>
      </c>
      <c r="I482" s="5" t="n">
        <v>0</v>
      </c>
      <c r="J482" s="5" t="n">
        <v>19</v>
      </c>
      <c r="K482" s="5" t="n">
        <v>18</v>
      </c>
      <c r="L482" s="5" t="n">
        <f aca="false">J482-K482</f>
        <v>1</v>
      </c>
      <c r="M482" s="11" t="n">
        <f aca="false">IF(J482=0,0,K482/J482)</f>
        <v>0.947368421052632</v>
      </c>
    </row>
    <row r="483" customFormat="false" ht="15" hidden="false" customHeight="false" outlineLevel="0" collapsed="false">
      <c r="A483" s="5" t="s">
        <v>922</v>
      </c>
      <c r="B483" s="5" t="s">
        <v>60</v>
      </c>
      <c r="C483" s="5" t="s">
        <v>48</v>
      </c>
      <c r="D483" s="5" t="s">
        <v>114</v>
      </c>
      <c r="E483" s="5" t="s">
        <v>56</v>
      </c>
      <c r="F483" s="5" t="s">
        <v>57</v>
      </c>
      <c r="G483" s="5" t="s">
        <v>58</v>
      </c>
      <c r="H483" s="5" t="n">
        <v>0</v>
      </c>
      <c r="I483" s="5" t="n">
        <v>0</v>
      </c>
      <c r="J483" s="5" t="n">
        <v>19</v>
      </c>
      <c r="K483" s="5" t="n">
        <v>19</v>
      </c>
      <c r="L483" s="5" t="n">
        <f aca="false">J483-K483</f>
        <v>0</v>
      </c>
      <c r="M483" s="11" t="n">
        <f aca="false">IF(J483=0,0,K483/J483)</f>
        <v>1</v>
      </c>
    </row>
    <row r="484" customFormat="false" ht="15" hidden="false" customHeight="false" outlineLevel="0" collapsed="false">
      <c r="A484" s="5" t="s">
        <v>923</v>
      </c>
      <c r="B484" s="5" t="s">
        <v>60</v>
      </c>
      <c r="C484" s="5" t="s">
        <v>48</v>
      </c>
      <c r="D484" s="5" t="s">
        <v>114</v>
      </c>
      <c r="E484" s="5" t="s">
        <v>56</v>
      </c>
      <c r="F484" s="5" t="s">
        <v>57</v>
      </c>
      <c r="G484" s="5" t="s">
        <v>58</v>
      </c>
      <c r="H484" s="5" t="n">
        <v>0</v>
      </c>
      <c r="I484" s="5" t="n">
        <v>0</v>
      </c>
      <c r="J484" s="5" t="n">
        <v>19</v>
      </c>
      <c r="K484" s="5" t="n">
        <v>19</v>
      </c>
      <c r="L484" s="5" t="n">
        <f aca="false">J484-K484</f>
        <v>0</v>
      </c>
      <c r="M484" s="11" t="n">
        <f aca="false">IF(J484=0,0,K484/J484)</f>
        <v>1</v>
      </c>
    </row>
    <row r="485" customFormat="false" ht="15" hidden="false" customHeight="false" outlineLevel="0" collapsed="false">
      <c r="A485" s="5" t="s">
        <v>924</v>
      </c>
      <c r="B485" s="5" t="s">
        <v>60</v>
      </c>
      <c r="C485" s="5" t="s">
        <v>48</v>
      </c>
      <c r="D485" s="5" t="s">
        <v>925</v>
      </c>
      <c r="E485" s="5" t="s">
        <v>56</v>
      </c>
      <c r="F485" s="5" t="s">
        <v>57</v>
      </c>
      <c r="G485" s="5" t="s">
        <v>58</v>
      </c>
      <c r="H485" s="5" t="n">
        <v>0</v>
      </c>
      <c r="I485" s="5" t="n">
        <v>0</v>
      </c>
      <c r="J485" s="5" t="n">
        <v>15</v>
      </c>
      <c r="K485" s="5" t="n">
        <v>13</v>
      </c>
      <c r="L485" s="5" t="n">
        <f aca="false">J485-K485</f>
        <v>2</v>
      </c>
      <c r="M485" s="11" t="n">
        <f aca="false">IF(J485=0,0,K485/J485)</f>
        <v>0.866666666666667</v>
      </c>
    </row>
    <row r="486" customFormat="false" ht="15" hidden="false" customHeight="false" outlineLevel="0" collapsed="false">
      <c r="A486" s="5" t="s">
        <v>926</v>
      </c>
      <c r="B486" s="5" t="s">
        <v>60</v>
      </c>
      <c r="C486" s="5" t="s">
        <v>48</v>
      </c>
      <c r="D486" s="5" t="s">
        <v>927</v>
      </c>
      <c r="E486" s="5" t="s">
        <v>90</v>
      </c>
      <c r="F486" s="5" t="s">
        <v>57</v>
      </c>
      <c r="G486" s="5" t="s">
        <v>58</v>
      </c>
      <c r="H486" s="5" t="n">
        <v>0</v>
      </c>
      <c r="I486" s="5" t="n">
        <v>0</v>
      </c>
      <c r="J486" s="5" t="n">
        <v>11</v>
      </c>
      <c r="K486" s="5" t="n">
        <v>11</v>
      </c>
      <c r="L486" s="5" t="n">
        <f aca="false">J486-K486</f>
        <v>0</v>
      </c>
      <c r="M486" s="11" t="n">
        <f aca="false">IF(J486=0,0,K486/J486)</f>
        <v>1</v>
      </c>
    </row>
    <row r="487" customFormat="false" ht="15" hidden="false" customHeight="false" outlineLevel="0" collapsed="false">
      <c r="A487" s="5" t="s">
        <v>928</v>
      </c>
      <c r="B487" s="5" t="s">
        <v>54</v>
      </c>
      <c r="C487" s="5" t="s">
        <v>48</v>
      </c>
      <c r="D487" s="5" t="s">
        <v>927</v>
      </c>
      <c r="E487" s="5" t="s">
        <v>56</v>
      </c>
      <c r="F487" s="5" t="s">
        <v>57</v>
      </c>
      <c r="G487" s="5" t="s">
        <v>58</v>
      </c>
      <c r="H487" s="5" t="n">
        <v>0</v>
      </c>
      <c r="I487" s="5" t="n">
        <v>0</v>
      </c>
      <c r="J487" s="5" t="n">
        <v>17</v>
      </c>
      <c r="K487" s="5" t="n">
        <v>17</v>
      </c>
      <c r="L487" s="5" t="n">
        <f aca="false">J487-K487</f>
        <v>0</v>
      </c>
      <c r="M487" s="11" t="n">
        <f aca="false">IF(J487=0,0,K487/J487)</f>
        <v>1</v>
      </c>
    </row>
    <row r="488" customFormat="false" ht="15" hidden="false" customHeight="false" outlineLevel="0" collapsed="false">
      <c r="A488" s="5" t="s">
        <v>929</v>
      </c>
      <c r="B488" s="5" t="s">
        <v>54</v>
      </c>
      <c r="C488" s="5" t="s">
        <v>48</v>
      </c>
      <c r="D488" s="5" t="s">
        <v>687</v>
      </c>
      <c r="E488" s="5" t="s">
        <v>64</v>
      </c>
      <c r="F488" s="5" t="s">
        <v>57</v>
      </c>
      <c r="G488" s="5" t="s">
        <v>58</v>
      </c>
      <c r="H488" s="5" t="n">
        <v>0</v>
      </c>
      <c r="I488" s="5" t="n">
        <v>0</v>
      </c>
      <c r="J488" s="5" t="n">
        <v>23</v>
      </c>
      <c r="K488" s="5" t="n">
        <v>17</v>
      </c>
      <c r="L488" s="5" t="n">
        <f aca="false">J488-K488</f>
        <v>6</v>
      </c>
      <c r="M488" s="11" t="n">
        <f aca="false">IF(J488=0,0,K488/J488)</f>
        <v>0.739130434782609</v>
      </c>
    </row>
    <row r="489" customFormat="false" ht="15" hidden="false" customHeight="false" outlineLevel="0" collapsed="false">
      <c r="A489" s="5" t="s">
        <v>930</v>
      </c>
      <c r="B489" s="5" t="s">
        <v>60</v>
      </c>
      <c r="C489" s="5" t="s">
        <v>48</v>
      </c>
      <c r="D489" s="5" t="s">
        <v>186</v>
      </c>
      <c r="E489" s="5" t="s">
        <v>56</v>
      </c>
      <c r="F489" s="5" t="s">
        <v>57</v>
      </c>
      <c r="G489" s="5" t="s">
        <v>58</v>
      </c>
      <c r="H489" s="5" t="n">
        <v>0</v>
      </c>
      <c r="I489" s="5" t="n">
        <v>0</v>
      </c>
      <c r="J489" s="5" t="n">
        <v>20</v>
      </c>
      <c r="K489" s="5" t="n">
        <v>18</v>
      </c>
      <c r="L489" s="5" t="n">
        <f aca="false">J489-K489</f>
        <v>2</v>
      </c>
      <c r="M489" s="11" t="n">
        <f aca="false">IF(J489=0,0,K489/J489)</f>
        <v>0.9</v>
      </c>
    </row>
    <row r="490" customFormat="false" ht="15" hidden="false" customHeight="false" outlineLevel="0" collapsed="false">
      <c r="A490" s="5" t="s">
        <v>931</v>
      </c>
      <c r="B490" s="5" t="s">
        <v>60</v>
      </c>
      <c r="C490" s="5" t="s">
        <v>48</v>
      </c>
      <c r="D490" s="5" t="s">
        <v>932</v>
      </c>
      <c r="E490" s="5" t="s">
        <v>56</v>
      </c>
      <c r="F490" s="5" t="s">
        <v>57</v>
      </c>
      <c r="G490" s="5" t="s">
        <v>58</v>
      </c>
      <c r="H490" s="5" t="n">
        <v>0</v>
      </c>
      <c r="I490" s="5" t="n">
        <v>0</v>
      </c>
      <c r="J490" s="5" t="n">
        <v>12</v>
      </c>
      <c r="K490" s="5" t="n">
        <v>12</v>
      </c>
      <c r="L490" s="5" t="n">
        <f aca="false">J490-K490</f>
        <v>0</v>
      </c>
      <c r="M490" s="11" t="n">
        <f aca="false">IF(J490=0,0,K490/J490)</f>
        <v>1</v>
      </c>
    </row>
    <row r="491" customFormat="false" ht="15" hidden="false" customHeight="false" outlineLevel="0" collapsed="false">
      <c r="A491" s="5" t="s">
        <v>933</v>
      </c>
      <c r="B491" s="5" t="s">
        <v>60</v>
      </c>
      <c r="C491" s="5" t="s">
        <v>48</v>
      </c>
      <c r="D491" s="5" t="s">
        <v>934</v>
      </c>
      <c r="E491" s="5" t="s">
        <v>56</v>
      </c>
      <c r="F491" s="5" t="s">
        <v>57</v>
      </c>
      <c r="G491" s="5" t="s">
        <v>58</v>
      </c>
      <c r="H491" s="5" t="n">
        <v>0</v>
      </c>
      <c r="I491" s="5" t="n">
        <v>0</v>
      </c>
      <c r="J491" s="5" t="n">
        <v>21</v>
      </c>
      <c r="K491" s="5" t="n">
        <v>20</v>
      </c>
      <c r="L491" s="5" t="n">
        <f aca="false">J491-K491</f>
        <v>1</v>
      </c>
      <c r="M491" s="11" t="n">
        <f aca="false">IF(J491=0,0,K491/J491)</f>
        <v>0.952380952380952</v>
      </c>
    </row>
    <row r="492" customFormat="false" ht="15" hidden="false" customHeight="false" outlineLevel="0" collapsed="false">
      <c r="A492" s="5" t="s">
        <v>935</v>
      </c>
      <c r="B492" s="5" t="s">
        <v>60</v>
      </c>
      <c r="C492" s="5" t="s">
        <v>48</v>
      </c>
      <c r="D492" s="5" t="s">
        <v>936</v>
      </c>
      <c r="E492" s="5" t="s">
        <v>56</v>
      </c>
      <c r="F492" s="5" t="s">
        <v>57</v>
      </c>
      <c r="G492" s="5" t="s">
        <v>58</v>
      </c>
      <c r="H492" s="5" t="n">
        <v>0</v>
      </c>
      <c r="I492" s="5" t="n">
        <v>0</v>
      </c>
      <c r="J492" s="5" t="n">
        <v>24</v>
      </c>
      <c r="K492" s="5" t="n">
        <v>22</v>
      </c>
      <c r="L492" s="5" t="n">
        <f aca="false">J492-K492</f>
        <v>2</v>
      </c>
      <c r="M492" s="11" t="n">
        <f aca="false">IF(J492=0,0,K492/J492)</f>
        <v>0.916666666666667</v>
      </c>
    </row>
    <row r="493" customFormat="false" ht="15" hidden="false" customHeight="false" outlineLevel="0" collapsed="false">
      <c r="A493" s="5" t="s">
        <v>937</v>
      </c>
      <c r="B493" s="5" t="s">
        <v>60</v>
      </c>
      <c r="C493" s="5" t="s">
        <v>48</v>
      </c>
      <c r="D493" s="5" t="s">
        <v>938</v>
      </c>
      <c r="E493" s="5" t="s">
        <v>56</v>
      </c>
      <c r="F493" s="5" t="s">
        <v>57</v>
      </c>
      <c r="G493" s="5" t="s">
        <v>58</v>
      </c>
      <c r="H493" s="5" t="n">
        <v>0</v>
      </c>
      <c r="I493" s="5" t="n">
        <v>0</v>
      </c>
      <c r="J493" s="5" t="n">
        <v>17</v>
      </c>
      <c r="K493" s="5" t="n">
        <v>16</v>
      </c>
      <c r="L493" s="5" t="n">
        <f aca="false">J493-K493</f>
        <v>1</v>
      </c>
      <c r="M493" s="11" t="n">
        <f aca="false">IF(J493=0,0,K493/J493)</f>
        <v>0.941176470588235</v>
      </c>
    </row>
    <row r="494" customFormat="false" ht="15" hidden="false" customHeight="false" outlineLevel="0" collapsed="false">
      <c r="A494" s="5" t="s">
        <v>939</v>
      </c>
      <c r="B494" s="5" t="s">
        <v>60</v>
      </c>
      <c r="C494" s="5" t="s">
        <v>48</v>
      </c>
      <c r="D494" s="5" t="s">
        <v>448</v>
      </c>
      <c r="E494" s="5" t="s">
        <v>56</v>
      </c>
      <c r="F494" s="5" t="s">
        <v>57</v>
      </c>
      <c r="G494" s="5" t="s">
        <v>58</v>
      </c>
      <c r="H494" s="5" t="n">
        <v>0</v>
      </c>
      <c r="I494" s="5" t="n">
        <v>0</v>
      </c>
      <c r="J494" s="5" t="n">
        <v>13</v>
      </c>
      <c r="K494" s="5" t="n">
        <v>12</v>
      </c>
      <c r="L494" s="5" t="n">
        <f aca="false">J494-K494</f>
        <v>1</v>
      </c>
      <c r="M494" s="11" t="n">
        <f aca="false">IF(J494=0,0,K494/J494)</f>
        <v>0.923076923076923</v>
      </c>
    </row>
    <row r="495" customFormat="false" ht="15" hidden="false" customHeight="false" outlineLevel="0" collapsed="false">
      <c r="A495" s="5" t="s">
        <v>940</v>
      </c>
      <c r="B495" s="5" t="s">
        <v>60</v>
      </c>
      <c r="C495" s="5" t="s">
        <v>48</v>
      </c>
      <c r="D495" s="5" t="s">
        <v>941</v>
      </c>
      <c r="E495" s="5" t="s">
        <v>56</v>
      </c>
      <c r="F495" s="5" t="s">
        <v>57</v>
      </c>
      <c r="G495" s="5" t="s">
        <v>58</v>
      </c>
      <c r="H495" s="5" t="n">
        <v>0</v>
      </c>
      <c r="I495" s="5" t="n">
        <v>0</v>
      </c>
      <c r="J495" s="5" t="n">
        <v>13</v>
      </c>
      <c r="K495" s="5" t="n">
        <v>11</v>
      </c>
      <c r="L495" s="5" t="n">
        <f aca="false">J495-K495</f>
        <v>2</v>
      </c>
      <c r="M495" s="11" t="n">
        <f aca="false">IF(J495=0,0,K495/J495)</f>
        <v>0.846153846153846</v>
      </c>
    </row>
    <row r="496" customFormat="false" ht="15" hidden="false" customHeight="false" outlineLevel="0" collapsed="false">
      <c r="A496" s="5" t="s">
        <v>942</v>
      </c>
      <c r="B496" s="5" t="s">
        <v>60</v>
      </c>
      <c r="C496" s="5" t="s">
        <v>48</v>
      </c>
      <c r="D496" s="5" t="s">
        <v>220</v>
      </c>
      <c r="E496" s="5" t="s">
        <v>56</v>
      </c>
      <c r="F496" s="5" t="s">
        <v>57</v>
      </c>
      <c r="G496" s="5" t="s">
        <v>58</v>
      </c>
      <c r="H496" s="5" t="n">
        <v>0</v>
      </c>
      <c r="I496" s="5" t="n">
        <v>0</v>
      </c>
      <c r="J496" s="5" t="n">
        <v>23</v>
      </c>
      <c r="K496" s="5" t="n">
        <v>21</v>
      </c>
      <c r="L496" s="5" t="n">
        <f aca="false">J496-K496</f>
        <v>2</v>
      </c>
      <c r="M496" s="11" t="n">
        <f aca="false">IF(J496=0,0,K496/J496)</f>
        <v>0.91304347826087</v>
      </c>
    </row>
    <row r="497" customFormat="false" ht="15" hidden="false" customHeight="false" outlineLevel="0" collapsed="false">
      <c r="A497" s="5" t="s">
        <v>943</v>
      </c>
      <c r="B497" s="5" t="s">
        <v>60</v>
      </c>
      <c r="C497" s="5" t="s">
        <v>48</v>
      </c>
      <c r="D497" s="5" t="s">
        <v>261</v>
      </c>
      <c r="E497" s="5" t="s">
        <v>56</v>
      </c>
      <c r="F497" s="5" t="s">
        <v>57</v>
      </c>
      <c r="G497" s="5" t="s">
        <v>58</v>
      </c>
      <c r="H497" s="5" t="n">
        <v>0</v>
      </c>
      <c r="I497" s="5" t="n">
        <v>0</v>
      </c>
      <c r="J497" s="5" t="n">
        <v>11</v>
      </c>
      <c r="K497" s="5" t="n">
        <v>10</v>
      </c>
      <c r="L497" s="5" t="n">
        <f aca="false">J497-K497</f>
        <v>1</v>
      </c>
      <c r="M497" s="11" t="n">
        <f aca="false">IF(J497=0,0,K497/J497)</f>
        <v>0.909090909090909</v>
      </c>
    </row>
    <row r="498" customFormat="false" ht="15" hidden="false" customHeight="false" outlineLevel="0" collapsed="false">
      <c r="A498" s="5" t="s">
        <v>944</v>
      </c>
      <c r="B498" s="5" t="s">
        <v>60</v>
      </c>
      <c r="C498" s="5" t="s">
        <v>48</v>
      </c>
      <c r="D498" s="5" t="s">
        <v>370</v>
      </c>
      <c r="E498" s="5" t="s">
        <v>56</v>
      </c>
      <c r="F498" s="5" t="s">
        <v>57</v>
      </c>
      <c r="G498" s="5" t="s">
        <v>58</v>
      </c>
      <c r="H498" s="5" t="n">
        <v>0</v>
      </c>
      <c r="I498" s="5" t="n">
        <v>0</v>
      </c>
      <c r="J498" s="5" t="n">
        <v>18</v>
      </c>
      <c r="K498" s="5" t="n">
        <v>13</v>
      </c>
      <c r="L498" s="5" t="n">
        <f aca="false">J498-K498</f>
        <v>5</v>
      </c>
      <c r="M498" s="11" t="n">
        <f aca="false">IF(J498=0,0,K498/J498)</f>
        <v>0.722222222222222</v>
      </c>
    </row>
    <row r="499" customFormat="false" ht="15" hidden="false" customHeight="false" outlineLevel="0" collapsed="false">
      <c r="A499" s="5" t="s">
        <v>945</v>
      </c>
      <c r="B499" s="5" t="s">
        <v>60</v>
      </c>
      <c r="C499" s="5" t="s">
        <v>48</v>
      </c>
      <c r="D499" s="5" t="s">
        <v>261</v>
      </c>
      <c r="E499" s="5" t="s">
        <v>56</v>
      </c>
      <c r="F499" s="5" t="s">
        <v>57</v>
      </c>
      <c r="G499" s="5" t="s">
        <v>58</v>
      </c>
      <c r="H499" s="5" t="n">
        <v>0</v>
      </c>
      <c r="I499" s="5" t="n">
        <v>0</v>
      </c>
      <c r="J499" s="5" t="n">
        <v>13</v>
      </c>
      <c r="K499" s="5" t="n">
        <v>9</v>
      </c>
      <c r="L499" s="5" t="n">
        <f aca="false">J499-K499</f>
        <v>4</v>
      </c>
      <c r="M499" s="11" t="n">
        <f aca="false">IF(J499=0,0,K499/J499)</f>
        <v>0.692307692307692</v>
      </c>
    </row>
    <row r="500" customFormat="false" ht="15" hidden="false" customHeight="false" outlineLevel="0" collapsed="false">
      <c r="A500" s="5" t="s">
        <v>946</v>
      </c>
      <c r="B500" s="5" t="s">
        <v>60</v>
      </c>
      <c r="C500" s="5" t="s">
        <v>48</v>
      </c>
      <c r="D500" s="5" t="s">
        <v>947</v>
      </c>
      <c r="E500" s="5" t="s">
        <v>56</v>
      </c>
      <c r="F500" s="5" t="s">
        <v>57</v>
      </c>
      <c r="G500" s="5" t="s">
        <v>58</v>
      </c>
      <c r="H500" s="5" t="n">
        <v>0</v>
      </c>
      <c r="I500" s="5" t="n">
        <v>0</v>
      </c>
      <c r="J500" s="5" t="n">
        <v>16</v>
      </c>
      <c r="K500" s="5" t="n">
        <v>14</v>
      </c>
      <c r="L500" s="5" t="n">
        <f aca="false">J500-K500</f>
        <v>2</v>
      </c>
      <c r="M500" s="11" t="n">
        <f aca="false">IF(J500=0,0,K500/J500)</f>
        <v>0.875</v>
      </c>
    </row>
    <row r="501" customFormat="false" ht="15" hidden="false" customHeight="false" outlineLevel="0" collapsed="false">
      <c r="A501" s="5" t="s">
        <v>948</v>
      </c>
      <c r="B501" s="5" t="s">
        <v>54</v>
      </c>
      <c r="C501" s="5" t="s">
        <v>48</v>
      </c>
      <c r="D501" s="5" t="s">
        <v>949</v>
      </c>
      <c r="E501" s="5" t="s">
        <v>56</v>
      </c>
      <c r="F501" s="5" t="s">
        <v>57</v>
      </c>
      <c r="G501" s="5" t="s">
        <v>58</v>
      </c>
      <c r="H501" s="5" t="n">
        <v>0</v>
      </c>
      <c r="I501" s="5" t="n">
        <v>0</v>
      </c>
      <c r="J501" s="5" t="n">
        <v>19</v>
      </c>
      <c r="K501" s="5" t="n">
        <v>18</v>
      </c>
      <c r="L501" s="5" t="n">
        <f aca="false">J501-K501</f>
        <v>1</v>
      </c>
      <c r="M501" s="11" t="n">
        <f aca="false">IF(J501=0,0,K501/J501)</f>
        <v>0.947368421052632</v>
      </c>
    </row>
    <row r="502" customFormat="false" ht="15" hidden="false" customHeight="false" outlineLevel="0" collapsed="false">
      <c r="A502" s="5" t="s">
        <v>950</v>
      </c>
      <c r="B502" s="5" t="s">
        <v>54</v>
      </c>
      <c r="C502" s="5" t="s">
        <v>48</v>
      </c>
      <c r="D502" s="5" t="s">
        <v>473</v>
      </c>
      <c r="E502" s="5" t="s">
        <v>56</v>
      </c>
      <c r="F502" s="5" t="s">
        <v>57</v>
      </c>
      <c r="G502" s="5" t="s">
        <v>58</v>
      </c>
      <c r="H502" s="5" t="n">
        <v>0</v>
      </c>
      <c r="I502" s="5" t="n">
        <v>0</v>
      </c>
      <c r="J502" s="5" t="n">
        <v>22</v>
      </c>
      <c r="K502" s="5" t="n">
        <v>22</v>
      </c>
      <c r="L502" s="5" t="n">
        <f aca="false">J502-K502</f>
        <v>0</v>
      </c>
      <c r="M502" s="11" t="n">
        <f aca="false">IF(J502=0,0,K502/J502)</f>
        <v>1</v>
      </c>
    </row>
    <row r="503" customFormat="false" ht="15" hidden="false" customHeight="false" outlineLevel="0" collapsed="false">
      <c r="A503" s="5" t="s">
        <v>951</v>
      </c>
      <c r="B503" s="5" t="s">
        <v>60</v>
      </c>
      <c r="C503" s="5" t="s">
        <v>48</v>
      </c>
      <c r="D503" s="5" t="s">
        <v>952</v>
      </c>
      <c r="E503" s="5" t="s">
        <v>953</v>
      </c>
      <c r="F503" s="5" t="s">
        <v>57</v>
      </c>
      <c r="G503" s="5" t="s">
        <v>58</v>
      </c>
      <c r="H503" s="5" t="n">
        <v>0</v>
      </c>
      <c r="I503" s="5" t="n">
        <v>0</v>
      </c>
      <c r="J503" s="5" t="n">
        <v>20</v>
      </c>
      <c r="K503" s="5" t="n">
        <v>19</v>
      </c>
      <c r="L503" s="5" t="n">
        <f aca="false">J503-K503</f>
        <v>1</v>
      </c>
      <c r="M503" s="11" t="n">
        <f aca="false">IF(J503=0,0,K503/J503)</f>
        <v>0.95</v>
      </c>
    </row>
    <row r="504" customFormat="false" ht="15" hidden="false" customHeight="false" outlineLevel="0" collapsed="false">
      <c r="A504" s="5" t="s">
        <v>954</v>
      </c>
      <c r="B504" s="5" t="s">
        <v>60</v>
      </c>
      <c r="C504" s="5" t="s">
        <v>48</v>
      </c>
      <c r="D504" s="5" t="s">
        <v>291</v>
      </c>
      <c r="E504" s="5" t="s">
        <v>349</v>
      </c>
      <c r="F504" s="5" t="s">
        <v>57</v>
      </c>
      <c r="G504" s="5" t="s">
        <v>58</v>
      </c>
      <c r="H504" s="5" t="n">
        <v>0</v>
      </c>
      <c r="I504" s="5" t="n">
        <v>0</v>
      </c>
      <c r="J504" s="5" t="n">
        <v>21</v>
      </c>
      <c r="K504" s="5" t="n">
        <v>21</v>
      </c>
      <c r="L504" s="5" t="n">
        <f aca="false">J504-K504</f>
        <v>0</v>
      </c>
      <c r="M504" s="11" t="n">
        <f aca="false">IF(J504=0,0,K504/J504)</f>
        <v>1</v>
      </c>
    </row>
    <row r="505" customFormat="false" ht="15" hidden="false" customHeight="false" outlineLevel="0" collapsed="false">
      <c r="A505" s="5" t="s">
        <v>955</v>
      </c>
      <c r="B505" s="5" t="s">
        <v>60</v>
      </c>
      <c r="C505" s="5" t="s">
        <v>48</v>
      </c>
      <c r="D505" s="5" t="s">
        <v>411</v>
      </c>
      <c r="E505" s="5" t="s">
        <v>130</v>
      </c>
      <c r="F505" s="5" t="s">
        <v>57</v>
      </c>
      <c r="G505" s="5" t="s">
        <v>58</v>
      </c>
      <c r="H505" s="5" t="n">
        <v>0</v>
      </c>
      <c r="I505" s="5" t="n">
        <v>0</v>
      </c>
      <c r="J505" s="5" t="n">
        <v>8</v>
      </c>
      <c r="K505" s="5" t="n">
        <v>8</v>
      </c>
      <c r="L505" s="5" t="n">
        <f aca="false">J505-K505</f>
        <v>0</v>
      </c>
      <c r="M505" s="11" t="n">
        <f aca="false">IF(J505=0,0,K505/J505)</f>
        <v>1</v>
      </c>
    </row>
    <row r="506" customFormat="false" ht="15" hidden="false" customHeight="false" outlineLevel="0" collapsed="false">
      <c r="A506" s="5" t="s">
        <v>956</v>
      </c>
      <c r="B506" s="5" t="s">
        <v>54</v>
      </c>
      <c r="C506" s="5" t="s">
        <v>48</v>
      </c>
      <c r="D506" s="5" t="s">
        <v>452</v>
      </c>
      <c r="E506" s="5" t="s">
        <v>206</v>
      </c>
      <c r="F506" s="5" t="s">
        <v>57</v>
      </c>
      <c r="G506" s="5" t="s">
        <v>58</v>
      </c>
      <c r="H506" s="5" t="n">
        <v>0</v>
      </c>
      <c r="I506" s="5" t="n">
        <v>0</v>
      </c>
      <c r="J506" s="5" t="n">
        <v>21</v>
      </c>
      <c r="K506" s="5" t="n">
        <v>19</v>
      </c>
      <c r="L506" s="5" t="n">
        <f aca="false">J506-K506</f>
        <v>2</v>
      </c>
      <c r="M506" s="11" t="n">
        <f aca="false">IF(J506=0,0,K506/J506)</f>
        <v>0.904761904761905</v>
      </c>
    </row>
    <row r="507" customFormat="false" ht="15" hidden="false" customHeight="false" outlineLevel="0" collapsed="false">
      <c r="A507" s="5" t="s">
        <v>957</v>
      </c>
      <c r="B507" s="5" t="s">
        <v>60</v>
      </c>
      <c r="C507" s="5" t="s">
        <v>48</v>
      </c>
      <c r="D507" s="5" t="s">
        <v>290</v>
      </c>
      <c r="E507" s="5" t="s">
        <v>90</v>
      </c>
      <c r="F507" s="5" t="s">
        <v>57</v>
      </c>
      <c r="G507" s="5" t="s">
        <v>58</v>
      </c>
      <c r="H507" s="5" t="n">
        <v>0</v>
      </c>
      <c r="I507" s="5" t="n">
        <v>0</v>
      </c>
      <c r="J507" s="5" t="n">
        <v>16</v>
      </c>
      <c r="K507" s="5" t="n">
        <v>16</v>
      </c>
      <c r="L507" s="5" t="n">
        <f aca="false">J507-K507</f>
        <v>0</v>
      </c>
      <c r="M507" s="11" t="n">
        <f aca="false">IF(J507=0,0,K507/J507)</f>
        <v>1</v>
      </c>
    </row>
    <row r="508" customFormat="false" ht="15" hidden="false" customHeight="false" outlineLevel="0" collapsed="false">
      <c r="A508" s="5" t="s">
        <v>958</v>
      </c>
      <c r="B508" s="5" t="s">
        <v>60</v>
      </c>
      <c r="C508" s="5" t="s">
        <v>48</v>
      </c>
      <c r="D508" s="5" t="s">
        <v>171</v>
      </c>
      <c r="E508" s="5" t="s">
        <v>90</v>
      </c>
      <c r="F508" s="5" t="s">
        <v>57</v>
      </c>
      <c r="G508" s="5" t="s">
        <v>58</v>
      </c>
      <c r="H508" s="5" t="n">
        <v>0</v>
      </c>
      <c r="I508" s="5" t="n">
        <v>0</v>
      </c>
      <c r="J508" s="5" t="n">
        <v>17</v>
      </c>
      <c r="K508" s="5" t="n">
        <v>15</v>
      </c>
      <c r="L508" s="5" t="n">
        <f aca="false">J508-K508</f>
        <v>2</v>
      </c>
      <c r="M508" s="11" t="n">
        <f aca="false">IF(J508=0,0,K508/J508)</f>
        <v>0.882352941176471</v>
      </c>
    </row>
    <row r="509" customFormat="false" ht="15" hidden="false" customHeight="false" outlineLevel="0" collapsed="false">
      <c r="A509" s="5" t="s">
        <v>959</v>
      </c>
      <c r="B509" s="5" t="s">
        <v>60</v>
      </c>
      <c r="C509" s="5" t="s">
        <v>48</v>
      </c>
      <c r="D509" s="5" t="s">
        <v>236</v>
      </c>
      <c r="E509" s="5" t="s">
        <v>90</v>
      </c>
      <c r="F509" s="5" t="s">
        <v>57</v>
      </c>
      <c r="G509" s="5" t="s">
        <v>58</v>
      </c>
      <c r="H509" s="5" t="n">
        <v>0</v>
      </c>
      <c r="I509" s="5" t="n">
        <v>0</v>
      </c>
      <c r="J509" s="5" t="n">
        <v>13</v>
      </c>
      <c r="K509" s="5" t="n">
        <v>13</v>
      </c>
      <c r="L509" s="5" t="n">
        <f aca="false">J509-K509</f>
        <v>0</v>
      </c>
      <c r="M509" s="11" t="n">
        <f aca="false">IF(J509=0,0,K509/J509)</f>
        <v>1</v>
      </c>
    </row>
    <row r="510" customFormat="false" ht="15" hidden="false" customHeight="false" outlineLevel="0" collapsed="false">
      <c r="A510" s="5" t="s">
        <v>960</v>
      </c>
      <c r="B510" s="5" t="s">
        <v>60</v>
      </c>
      <c r="C510" s="5" t="s">
        <v>48</v>
      </c>
      <c r="D510" s="5" t="s">
        <v>249</v>
      </c>
      <c r="E510" s="5" t="s">
        <v>130</v>
      </c>
      <c r="F510" s="5" t="s">
        <v>57</v>
      </c>
      <c r="G510" s="5" t="s">
        <v>58</v>
      </c>
      <c r="H510" s="5" t="n">
        <v>0</v>
      </c>
      <c r="I510" s="5" t="n">
        <v>0</v>
      </c>
      <c r="J510" s="5" t="n">
        <v>16</v>
      </c>
      <c r="K510" s="5" t="n">
        <v>15</v>
      </c>
      <c r="L510" s="5" t="n">
        <f aca="false">J510-K510</f>
        <v>1</v>
      </c>
      <c r="M510" s="11" t="n">
        <f aca="false">IF(J510=0,0,K510/J510)</f>
        <v>0.9375</v>
      </c>
    </row>
    <row r="511" customFormat="false" ht="15" hidden="false" customHeight="false" outlineLevel="0" collapsed="false">
      <c r="A511" s="5" t="s">
        <v>961</v>
      </c>
      <c r="B511" s="5" t="s">
        <v>60</v>
      </c>
      <c r="C511" s="5" t="s">
        <v>48</v>
      </c>
      <c r="D511" s="5" t="s">
        <v>183</v>
      </c>
      <c r="E511" s="5" t="s">
        <v>90</v>
      </c>
      <c r="F511" s="5" t="s">
        <v>57</v>
      </c>
      <c r="G511" s="5" t="s">
        <v>58</v>
      </c>
      <c r="H511" s="5" t="n">
        <v>0</v>
      </c>
      <c r="I511" s="5" t="n">
        <v>0</v>
      </c>
      <c r="J511" s="5" t="n">
        <v>12</v>
      </c>
      <c r="K511" s="5" t="n">
        <v>12</v>
      </c>
      <c r="L511" s="5" t="n">
        <f aca="false">J511-K511</f>
        <v>0</v>
      </c>
      <c r="M511" s="11" t="n">
        <f aca="false">IF(J511=0,0,K511/J511)</f>
        <v>1</v>
      </c>
    </row>
    <row r="512" customFormat="false" ht="15" hidden="false" customHeight="false" outlineLevel="0" collapsed="false">
      <c r="A512" s="5" t="s">
        <v>962</v>
      </c>
      <c r="B512" s="5" t="s">
        <v>54</v>
      </c>
      <c r="C512" s="5" t="s">
        <v>48</v>
      </c>
      <c r="D512" s="5" t="s">
        <v>84</v>
      </c>
      <c r="E512" s="5" t="s">
        <v>963</v>
      </c>
      <c r="F512" s="5" t="s">
        <v>57</v>
      </c>
      <c r="G512" s="5" t="s">
        <v>58</v>
      </c>
      <c r="H512" s="5" t="n">
        <v>0</v>
      </c>
      <c r="I512" s="5" t="n">
        <v>0</v>
      </c>
      <c r="J512" s="5" t="n">
        <v>27</v>
      </c>
      <c r="K512" s="5" t="n">
        <v>23</v>
      </c>
      <c r="L512" s="5" t="n">
        <f aca="false">J512-K512</f>
        <v>4</v>
      </c>
      <c r="M512" s="11" t="n">
        <f aca="false">IF(J512=0,0,K512/J512)</f>
        <v>0.851851851851852</v>
      </c>
    </row>
    <row r="513" customFormat="false" ht="15" hidden="false" customHeight="false" outlineLevel="0" collapsed="false">
      <c r="A513" s="5" t="s">
        <v>964</v>
      </c>
      <c r="B513" s="5" t="s">
        <v>60</v>
      </c>
      <c r="C513" s="5" t="s">
        <v>48</v>
      </c>
      <c r="D513" s="5" t="s">
        <v>411</v>
      </c>
      <c r="E513" s="5" t="s">
        <v>941</v>
      </c>
      <c r="F513" s="5" t="s">
        <v>57</v>
      </c>
      <c r="G513" s="5" t="s">
        <v>58</v>
      </c>
      <c r="H513" s="5" t="n">
        <v>0</v>
      </c>
      <c r="I513" s="5" t="n">
        <v>0</v>
      </c>
      <c r="J513" s="5" t="n">
        <v>18</v>
      </c>
      <c r="K513" s="5" t="n">
        <v>16</v>
      </c>
      <c r="L513" s="5" t="n">
        <f aca="false">J513-K513</f>
        <v>2</v>
      </c>
      <c r="M513" s="11" t="n">
        <f aca="false">IF(J513=0,0,K513/J513)</f>
        <v>0.888888888888889</v>
      </c>
    </row>
    <row r="514" customFormat="false" ht="15" hidden="false" customHeight="false" outlineLevel="0" collapsed="false">
      <c r="A514" s="5" t="s">
        <v>965</v>
      </c>
      <c r="B514" s="5" t="s">
        <v>60</v>
      </c>
      <c r="C514" s="5" t="s">
        <v>48</v>
      </c>
      <c r="D514" s="5" t="s">
        <v>411</v>
      </c>
      <c r="E514" s="5" t="s">
        <v>90</v>
      </c>
      <c r="F514" s="5" t="s">
        <v>57</v>
      </c>
      <c r="G514" s="5" t="s">
        <v>58</v>
      </c>
      <c r="H514" s="5" t="n">
        <v>0</v>
      </c>
      <c r="I514" s="5" t="n">
        <v>0</v>
      </c>
      <c r="J514" s="5" t="n">
        <v>7</v>
      </c>
      <c r="K514" s="5" t="n">
        <v>7</v>
      </c>
      <c r="L514" s="5" t="n">
        <f aca="false">J514-K514</f>
        <v>0</v>
      </c>
      <c r="M514" s="11" t="n">
        <f aca="false">IF(J514=0,0,K514/J514)</f>
        <v>1</v>
      </c>
    </row>
    <row r="515" customFormat="false" ht="15" hidden="false" customHeight="false" outlineLevel="0" collapsed="false">
      <c r="A515" s="5" t="s">
        <v>966</v>
      </c>
      <c r="B515" s="5" t="s">
        <v>60</v>
      </c>
      <c r="C515" s="5" t="s">
        <v>48</v>
      </c>
      <c r="D515" s="5" t="s">
        <v>967</v>
      </c>
      <c r="E515" s="5" t="s">
        <v>56</v>
      </c>
      <c r="F515" s="5" t="s">
        <v>57</v>
      </c>
      <c r="G515" s="5" t="s">
        <v>58</v>
      </c>
      <c r="H515" s="5" t="n">
        <v>0</v>
      </c>
      <c r="I515" s="5" t="n">
        <v>0</v>
      </c>
      <c r="J515" s="5" t="n">
        <v>10</v>
      </c>
      <c r="K515" s="5" t="n">
        <v>10</v>
      </c>
      <c r="L515" s="5" t="n">
        <f aca="false">J515-K515</f>
        <v>0</v>
      </c>
      <c r="M515" s="11" t="n">
        <f aca="false">IF(J515=0,0,K515/J515)</f>
        <v>1</v>
      </c>
    </row>
    <row r="516" customFormat="false" ht="15" hidden="false" customHeight="false" outlineLevel="0" collapsed="false">
      <c r="A516" s="5" t="s">
        <v>968</v>
      </c>
      <c r="B516" s="5" t="s">
        <v>60</v>
      </c>
      <c r="C516" s="5" t="s">
        <v>48</v>
      </c>
      <c r="D516" s="5" t="s">
        <v>969</v>
      </c>
      <c r="E516" s="5" t="s">
        <v>56</v>
      </c>
      <c r="F516" s="5" t="s">
        <v>57</v>
      </c>
      <c r="G516" s="5" t="s">
        <v>58</v>
      </c>
      <c r="H516" s="5" t="n">
        <v>0</v>
      </c>
      <c r="I516" s="5" t="n">
        <v>0</v>
      </c>
      <c r="J516" s="5" t="n">
        <v>11</v>
      </c>
      <c r="K516" s="5" t="n">
        <v>10</v>
      </c>
      <c r="L516" s="5" t="n">
        <f aca="false">J516-K516</f>
        <v>1</v>
      </c>
      <c r="M516" s="11" t="n">
        <f aca="false">IF(J516=0,0,K516/J516)</f>
        <v>0.909090909090909</v>
      </c>
    </row>
    <row r="517" customFormat="false" ht="15" hidden="false" customHeight="false" outlineLevel="0" collapsed="false">
      <c r="A517" s="5" t="s">
        <v>970</v>
      </c>
      <c r="B517" s="5" t="s">
        <v>60</v>
      </c>
      <c r="C517" s="5" t="s">
        <v>48</v>
      </c>
      <c r="D517" s="5" t="s">
        <v>509</v>
      </c>
      <c r="E517" s="5" t="s">
        <v>56</v>
      </c>
      <c r="F517" s="5" t="s">
        <v>57</v>
      </c>
      <c r="G517" s="5" t="s">
        <v>58</v>
      </c>
      <c r="H517" s="5" t="n">
        <v>0</v>
      </c>
      <c r="I517" s="5" t="n">
        <v>0</v>
      </c>
      <c r="J517" s="5" t="n">
        <v>11</v>
      </c>
      <c r="K517" s="5" t="n">
        <v>11</v>
      </c>
      <c r="L517" s="5" t="n">
        <f aca="false">J517-K517</f>
        <v>0</v>
      </c>
      <c r="M517" s="11" t="n">
        <f aca="false">IF(J517=0,0,K517/J517)</f>
        <v>1</v>
      </c>
    </row>
    <row r="518" customFormat="false" ht="15" hidden="false" customHeight="false" outlineLevel="0" collapsed="false">
      <c r="A518" s="5" t="s">
        <v>971</v>
      </c>
      <c r="B518" s="5" t="s">
        <v>60</v>
      </c>
      <c r="C518" s="5" t="s">
        <v>48</v>
      </c>
      <c r="D518" s="5" t="s">
        <v>963</v>
      </c>
      <c r="E518" s="5" t="s">
        <v>90</v>
      </c>
      <c r="F518" s="5" t="s">
        <v>57</v>
      </c>
      <c r="G518" s="5" t="s">
        <v>58</v>
      </c>
      <c r="H518" s="5" t="n">
        <v>0</v>
      </c>
      <c r="I518" s="5" t="n">
        <v>0</v>
      </c>
      <c r="J518" s="5" t="n">
        <v>15</v>
      </c>
      <c r="K518" s="5" t="n">
        <v>12</v>
      </c>
      <c r="L518" s="5" t="n">
        <f aca="false">J518-K518</f>
        <v>3</v>
      </c>
      <c r="M518" s="11" t="n">
        <f aca="false">IF(J518=0,0,K518/J518)</f>
        <v>0.8</v>
      </c>
    </row>
    <row r="519" customFormat="false" ht="15" hidden="false" customHeight="false" outlineLevel="0" collapsed="false">
      <c r="A519" s="5" t="s">
        <v>972</v>
      </c>
      <c r="B519" s="5" t="s">
        <v>60</v>
      </c>
      <c r="C519" s="5" t="s">
        <v>48</v>
      </c>
      <c r="D519" s="5" t="s">
        <v>124</v>
      </c>
      <c r="E519" s="5" t="s">
        <v>56</v>
      </c>
      <c r="F519" s="5" t="s">
        <v>57</v>
      </c>
      <c r="G519" s="5" t="s">
        <v>58</v>
      </c>
      <c r="H519" s="5" t="n">
        <v>0</v>
      </c>
      <c r="I519" s="5" t="n">
        <v>0</v>
      </c>
      <c r="J519" s="5" t="n">
        <v>12</v>
      </c>
      <c r="K519" s="5" t="n">
        <v>9</v>
      </c>
      <c r="L519" s="5" t="n">
        <f aca="false">J519-K519</f>
        <v>3</v>
      </c>
      <c r="M519" s="11" t="n">
        <f aca="false">IF(J519=0,0,K519/J519)</f>
        <v>0.75</v>
      </c>
    </row>
    <row r="520" customFormat="false" ht="15" hidden="false" customHeight="false" outlineLevel="0" collapsed="false">
      <c r="A520" s="5" t="s">
        <v>973</v>
      </c>
      <c r="B520" s="5" t="s">
        <v>60</v>
      </c>
      <c r="C520" s="5" t="s">
        <v>48</v>
      </c>
      <c r="D520" s="5" t="s">
        <v>974</v>
      </c>
      <c r="E520" s="5" t="s">
        <v>349</v>
      </c>
      <c r="F520" s="5" t="s">
        <v>57</v>
      </c>
      <c r="G520" s="5" t="s">
        <v>58</v>
      </c>
      <c r="H520" s="5" t="n">
        <v>0</v>
      </c>
      <c r="I520" s="5" t="n">
        <v>0</v>
      </c>
      <c r="J520" s="5" t="n">
        <v>14</v>
      </c>
      <c r="K520" s="5" t="n">
        <v>14</v>
      </c>
      <c r="L520" s="5" t="n">
        <f aca="false">J520-K520</f>
        <v>0</v>
      </c>
      <c r="M520" s="11" t="n">
        <f aca="false">IF(J520=0,0,K520/J520)</f>
        <v>1</v>
      </c>
    </row>
    <row r="521" customFormat="false" ht="15" hidden="false" customHeight="false" outlineLevel="0" collapsed="false">
      <c r="A521" s="5" t="s">
        <v>975</v>
      </c>
      <c r="B521" s="5" t="s">
        <v>60</v>
      </c>
      <c r="C521" s="5" t="s">
        <v>48</v>
      </c>
      <c r="D521" s="5" t="s">
        <v>963</v>
      </c>
      <c r="E521" s="5" t="s">
        <v>56</v>
      </c>
      <c r="F521" s="5" t="s">
        <v>57</v>
      </c>
      <c r="G521" s="5" t="s">
        <v>58</v>
      </c>
      <c r="H521" s="5" t="n">
        <v>0</v>
      </c>
      <c r="I521" s="5" t="n">
        <v>0</v>
      </c>
      <c r="J521" s="5" t="n">
        <v>18</v>
      </c>
      <c r="K521" s="5" t="n">
        <v>15</v>
      </c>
      <c r="L521" s="5" t="n">
        <f aca="false">J521-K521</f>
        <v>3</v>
      </c>
      <c r="M521" s="11" t="n">
        <f aca="false">IF(J521=0,0,K521/J521)</f>
        <v>0.833333333333333</v>
      </c>
    </row>
    <row r="522" customFormat="false" ht="15" hidden="false" customHeight="false" outlineLevel="0" collapsed="false">
      <c r="A522" s="5" t="s">
        <v>976</v>
      </c>
      <c r="B522" s="5" t="s">
        <v>60</v>
      </c>
      <c r="C522" s="5" t="s">
        <v>48</v>
      </c>
      <c r="D522" s="5" t="s">
        <v>977</v>
      </c>
      <c r="E522" s="5" t="s">
        <v>56</v>
      </c>
      <c r="F522" s="5" t="s">
        <v>57</v>
      </c>
      <c r="G522" s="5" t="s">
        <v>58</v>
      </c>
      <c r="H522" s="5" t="n">
        <v>0</v>
      </c>
      <c r="I522" s="5" t="n">
        <v>0</v>
      </c>
      <c r="J522" s="5" t="n">
        <v>23</v>
      </c>
      <c r="K522" s="5" t="n">
        <v>21</v>
      </c>
      <c r="L522" s="5" t="n">
        <f aca="false">J522-K522</f>
        <v>2</v>
      </c>
      <c r="M522" s="11" t="n">
        <f aca="false">IF(J522=0,0,K522/J522)</f>
        <v>0.91304347826087</v>
      </c>
    </row>
    <row r="523" customFormat="false" ht="15" hidden="false" customHeight="false" outlineLevel="0" collapsed="false">
      <c r="A523" s="5" t="s">
        <v>978</v>
      </c>
      <c r="B523" s="5" t="s">
        <v>60</v>
      </c>
      <c r="C523" s="5" t="s">
        <v>48</v>
      </c>
      <c r="D523" s="5" t="s">
        <v>411</v>
      </c>
      <c r="E523" s="5" t="s">
        <v>349</v>
      </c>
      <c r="F523" s="5" t="s">
        <v>57</v>
      </c>
      <c r="G523" s="5" t="s">
        <v>58</v>
      </c>
      <c r="H523" s="5" t="n">
        <v>0</v>
      </c>
      <c r="I523" s="5" t="n">
        <v>0</v>
      </c>
      <c r="J523" s="5" t="n">
        <v>11</v>
      </c>
      <c r="K523" s="5" t="n">
        <v>8</v>
      </c>
      <c r="L523" s="5" t="n">
        <f aca="false">J523-K523</f>
        <v>3</v>
      </c>
      <c r="M523" s="11" t="n">
        <f aca="false">IF(J523=0,0,K523/J523)</f>
        <v>0.727272727272727</v>
      </c>
    </row>
    <row r="524" customFormat="false" ht="15" hidden="false" customHeight="false" outlineLevel="0" collapsed="false">
      <c r="A524" s="5" t="s">
        <v>979</v>
      </c>
      <c r="B524" s="5" t="s">
        <v>60</v>
      </c>
      <c r="C524" s="5" t="s">
        <v>48</v>
      </c>
      <c r="D524" s="5" t="s">
        <v>980</v>
      </c>
      <c r="E524" s="5" t="s">
        <v>62</v>
      </c>
      <c r="F524" s="5" t="s">
        <v>57</v>
      </c>
      <c r="G524" s="5" t="s">
        <v>58</v>
      </c>
      <c r="H524" s="5" t="n">
        <v>0</v>
      </c>
      <c r="I524" s="5" t="n">
        <v>0</v>
      </c>
      <c r="J524" s="5" t="n">
        <v>14</v>
      </c>
      <c r="K524" s="5" t="n">
        <v>14</v>
      </c>
      <c r="L524" s="5" t="n">
        <f aca="false">J524-K524</f>
        <v>0</v>
      </c>
      <c r="M524" s="11" t="n">
        <f aca="false">IF(J524=0,0,K524/J524)</f>
        <v>1</v>
      </c>
    </row>
    <row r="525" customFormat="false" ht="15" hidden="false" customHeight="false" outlineLevel="0" collapsed="false">
      <c r="A525" s="5" t="s">
        <v>981</v>
      </c>
      <c r="B525" s="5" t="s">
        <v>54</v>
      </c>
      <c r="C525" s="5" t="s">
        <v>48</v>
      </c>
      <c r="D525" s="5" t="s">
        <v>982</v>
      </c>
      <c r="E525" s="5" t="s">
        <v>983</v>
      </c>
      <c r="F525" s="5" t="s">
        <v>57</v>
      </c>
      <c r="G525" s="5" t="s">
        <v>58</v>
      </c>
      <c r="H525" s="5" t="n">
        <v>0</v>
      </c>
      <c r="I525" s="5" t="n">
        <v>0</v>
      </c>
      <c r="J525" s="5" t="n">
        <v>26</v>
      </c>
      <c r="K525" s="5" t="n">
        <v>18</v>
      </c>
      <c r="L525" s="5" t="n">
        <f aca="false">J525-K525</f>
        <v>8</v>
      </c>
      <c r="M525" s="11" t="n">
        <f aca="false">IF(J525=0,0,K525/J525)</f>
        <v>0.692307692307692</v>
      </c>
    </row>
    <row r="526" customFormat="false" ht="15" hidden="false" customHeight="false" outlineLevel="0" collapsed="false">
      <c r="A526" s="5" t="s">
        <v>984</v>
      </c>
      <c r="B526" s="5" t="s">
        <v>60</v>
      </c>
      <c r="C526" s="5" t="s">
        <v>48</v>
      </c>
      <c r="D526" s="5" t="s">
        <v>203</v>
      </c>
      <c r="E526" s="5" t="s">
        <v>349</v>
      </c>
      <c r="F526" s="5" t="s">
        <v>57</v>
      </c>
      <c r="G526" s="5" t="s">
        <v>58</v>
      </c>
      <c r="H526" s="5" t="n">
        <v>0</v>
      </c>
      <c r="I526" s="5" t="n">
        <v>0</v>
      </c>
      <c r="J526" s="5" t="n">
        <v>18</v>
      </c>
      <c r="K526" s="5" t="n">
        <v>15</v>
      </c>
      <c r="L526" s="5" t="n">
        <f aca="false">J526-K526</f>
        <v>3</v>
      </c>
      <c r="M526" s="11" t="n">
        <f aca="false">IF(J526=0,0,K526/J526)</f>
        <v>0.833333333333333</v>
      </c>
    </row>
    <row r="527" customFormat="false" ht="15" hidden="false" customHeight="false" outlineLevel="0" collapsed="false">
      <c r="A527" s="5" t="s">
        <v>985</v>
      </c>
      <c r="B527" s="5" t="s">
        <v>60</v>
      </c>
      <c r="C527" s="5" t="s">
        <v>48</v>
      </c>
      <c r="D527" s="5" t="s">
        <v>986</v>
      </c>
      <c r="E527" s="5" t="s">
        <v>90</v>
      </c>
      <c r="F527" s="5" t="s">
        <v>57</v>
      </c>
      <c r="G527" s="5" t="s">
        <v>58</v>
      </c>
      <c r="H527" s="5" t="n">
        <v>0</v>
      </c>
      <c r="I527" s="5" t="n">
        <v>0</v>
      </c>
      <c r="J527" s="5" t="n">
        <v>18</v>
      </c>
      <c r="K527" s="5" t="n">
        <v>17</v>
      </c>
      <c r="L527" s="5" t="n">
        <f aca="false">J527-K527</f>
        <v>1</v>
      </c>
      <c r="M527" s="11" t="n">
        <f aca="false">IF(J527=0,0,K527/J527)</f>
        <v>0.944444444444444</v>
      </c>
    </row>
    <row r="528" customFormat="false" ht="15" hidden="false" customHeight="false" outlineLevel="0" collapsed="false">
      <c r="A528" s="5" t="s">
        <v>987</v>
      </c>
      <c r="B528" s="5" t="s">
        <v>60</v>
      </c>
      <c r="C528" s="5" t="s">
        <v>48</v>
      </c>
      <c r="D528" s="5" t="s">
        <v>988</v>
      </c>
      <c r="E528" s="5" t="s">
        <v>56</v>
      </c>
      <c r="F528" s="5" t="s">
        <v>57</v>
      </c>
      <c r="G528" s="5" t="s">
        <v>58</v>
      </c>
      <c r="H528" s="5" t="n">
        <v>0</v>
      </c>
      <c r="I528" s="5" t="n">
        <v>0</v>
      </c>
      <c r="J528" s="5" t="n">
        <v>18</v>
      </c>
      <c r="K528" s="5" t="n">
        <v>15</v>
      </c>
      <c r="L528" s="5" t="n">
        <f aca="false">J528-K528</f>
        <v>3</v>
      </c>
      <c r="M528" s="11" t="n">
        <f aca="false">IF(J528=0,0,K528/J528)</f>
        <v>0.833333333333333</v>
      </c>
    </row>
    <row r="529" customFormat="false" ht="15" hidden="false" customHeight="false" outlineLevel="0" collapsed="false">
      <c r="A529" s="5" t="s">
        <v>989</v>
      </c>
      <c r="B529" s="5" t="s">
        <v>60</v>
      </c>
      <c r="C529" s="5" t="s">
        <v>48</v>
      </c>
      <c r="D529" s="5" t="s">
        <v>990</v>
      </c>
      <c r="E529" s="5" t="s">
        <v>56</v>
      </c>
      <c r="F529" s="5" t="s">
        <v>57</v>
      </c>
      <c r="G529" s="5" t="s">
        <v>58</v>
      </c>
      <c r="H529" s="5" t="n">
        <v>0</v>
      </c>
      <c r="I529" s="5" t="n">
        <v>0</v>
      </c>
      <c r="J529" s="5" t="n">
        <v>12</v>
      </c>
      <c r="K529" s="5" t="n">
        <v>10</v>
      </c>
      <c r="L529" s="5" t="n">
        <f aca="false">J529-K529</f>
        <v>2</v>
      </c>
      <c r="M529" s="11" t="n">
        <f aca="false">IF(J529=0,0,K529/J529)</f>
        <v>0.833333333333333</v>
      </c>
    </row>
    <row r="530" customFormat="false" ht="15" hidden="false" customHeight="false" outlineLevel="0" collapsed="false">
      <c r="A530" s="5" t="s">
        <v>991</v>
      </c>
      <c r="B530" s="5" t="s">
        <v>60</v>
      </c>
      <c r="C530" s="5" t="s">
        <v>48</v>
      </c>
      <c r="D530" s="5" t="s">
        <v>411</v>
      </c>
      <c r="E530" s="5" t="s">
        <v>349</v>
      </c>
      <c r="F530" s="5" t="s">
        <v>57</v>
      </c>
      <c r="G530" s="5" t="s">
        <v>58</v>
      </c>
      <c r="H530" s="5" t="n">
        <v>0</v>
      </c>
      <c r="I530" s="5" t="n">
        <v>0</v>
      </c>
      <c r="J530" s="5" t="n">
        <v>11</v>
      </c>
      <c r="K530" s="5" t="n">
        <v>8</v>
      </c>
      <c r="L530" s="5" t="n">
        <f aca="false">J530-K530</f>
        <v>3</v>
      </c>
      <c r="M530" s="11" t="n">
        <f aca="false">IF(J530=0,0,K530/J530)</f>
        <v>0.727272727272727</v>
      </c>
    </row>
    <row r="531" customFormat="false" ht="15" hidden="false" customHeight="false" outlineLevel="0" collapsed="false">
      <c r="A531" s="5" t="s">
        <v>992</v>
      </c>
      <c r="B531" s="5" t="s">
        <v>54</v>
      </c>
      <c r="C531" s="5" t="s">
        <v>48</v>
      </c>
      <c r="D531" s="5" t="s">
        <v>218</v>
      </c>
      <c r="E531" s="5" t="s">
        <v>452</v>
      </c>
      <c r="F531" s="5" t="s">
        <v>57</v>
      </c>
      <c r="G531" s="5" t="s">
        <v>58</v>
      </c>
      <c r="H531" s="5" t="n">
        <v>0</v>
      </c>
      <c r="I531" s="5" t="n">
        <v>0</v>
      </c>
      <c r="J531" s="5" t="n">
        <v>28</v>
      </c>
      <c r="K531" s="5" t="n">
        <v>26</v>
      </c>
      <c r="L531" s="5" t="n">
        <f aca="false">J531-K531</f>
        <v>2</v>
      </c>
      <c r="M531" s="11" t="n">
        <f aca="false">IF(J531=0,0,K531/J531)</f>
        <v>0.928571428571429</v>
      </c>
    </row>
    <row r="532" customFormat="false" ht="15" hidden="false" customHeight="false" outlineLevel="0" collapsed="false">
      <c r="A532" s="5" t="s">
        <v>993</v>
      </c>
      <c r="B532" s="5" t="s">
        <v>54</v>
      </c>
      <c r="C532" s="5" t="s">
        <v>48</v>
      </c>
      <c r="D532" s="5" t="s">
        <v>206</v>
      </c>
      <c r="E532" s="5" t="s">
        <v>439</v>
      </c>
      <c r="F532" s="5" t="s">
        <v>57</v>
      </c>
      <c r="G532" s="5" t="s">
        <v>58</v>
      </c>
      <c r="H532" s="5" t="n">
        <v>0</v>
      </c>
      <c r="I532" s="5" t="n">
        <v>0</v>
      </c>
      <c r="J532" s="5" t="n">
        <v>30</v>
      </c>
      <c r="K532" s="5" t="n">
        <v>26</v>
      </c>
      <c r="L532" s="5" t="n">
        <f aca="false">J532-K532</f>
        <v>4</v>
      </c>
      <c r="M532" s="11" t="n">
        <f aca="false">IF(J532=0,0,K532/J532)</f>
        <v>0.866666666666667</v>
      </c>
    </row>
    <row r="533" customFormat="false" ht="15" hidden="false" customHeight="false" outlineLevel="0" collapsed="false">
      <c r="A533" s="5" t="s">
        <v>994</v>
      </c>
      <c r="B533" s="5" t="s">
        <v>54</v>
      </c>
      <c r="C533" s="5" t="s">
        <v>48</v>
      </c>
      <c r="D533" s="5" t="s">
        <v>287</v>
      </c>
      <c r="E533" s="5" t="s">
        <v>85</v>
      </c>
      <c r="F533" s="5" t="s">
        <v>57</v>
      </c>
      <c r="G533" s="5" t="s">
        <v>58</v>
      </c>
      <c r="H533" s="5" t="n">
        <v>0</v>
      </c>
      <c r="I533" s="5" t="n">
        <v>0</v>
      </c>
      <c r="J533" s="5" t="n">
        <v>17</v>
      </c>
      <c r="K533" s="5" t="n">
        <v>13</v>
      </c>
      <c r="L533" s="5" t="n">
        <f aca="false">J533-K533</f>
        <v>4</v>
      </c>
      <c r="M533" s="11" t="n">
        <f aca="false">IF(J533=0,0,K533/J533)</f>
        <v>0.764705882352941</v>
      </c>
    </row>
    <row r="534" customFormat="false" ht="15" hidden="false" customHeight="false" outlineLevel="0" collapsed="false">
      <c r="A534" s="5" t="s">
        <v>995</v>
      </c>
      <c r="B534" s="5" t="s">
        <v>54</v>
      </c>
      <c r="C534" s="5" t="s">
        <v>48</v>
      </c>
      <c r="D534" s="5" t="s">
        <v>133</v>
      </c>
      <c r="E534" s="5" t="s">
        <v>85</v>
      </c>
      <c r="F534" s="5" t="s">
        <v>57</v>
      </c>
      <c r="G534" s="5" t="s">
        <v>58</v>
      </c>
      <c r="H534" s="5" t="n">
        <v>0</v>
      </c>
      <c r="I534" s="5" t="n">
        <v>0</v>
      </c>
      <c r="J534" s="5" t="n">
        <v>10</v>
      </c>
      <c r="K534" s="5" t="n">
        <v>10</v>
      </c>
      <c r="L534" s="5" t="n">
        <f aca="false">J534-K534</f>
        <v>0</v>
      </c>
      <c r="M534" s="11" t="n">
        <f aca="false">IF(J534=0,0,K534/J534)</f>
        <v>1</v>
      </c>
    </row>
    <row r="535" customFormat="false" ht="15" hidden="false" customHeight="false" outlineLevel="0" collapsed="false">
      <c r="A535" s="5" t="s">
        <v>996</v>
      </c>
      <c r="B535" s="5" t="s">
        <v>54</v>
      </c>
      <c r="C535" s="5" t="s">
        <v>48</v>
      </c>
      <c r="D535" s="5" t="s">
        <v>445</v>
      </c>
      <c r="E535" s="5" t="s">
        <v>446</v>
      </c>
      <c r="F535" s="5" t="s">
        <v>57</v>
      </c>
      <c r="G535" s="5" t="s">
        <v>58</v>
      </c>
      <c r="H535" s="5" t="n">
        <v>0</v>
      </c>
      <c r="I535" s="5" t="n">
        <v>0</v>
      </c>
      <c r="J535" s="5" t="n">
        <v>23</v>
      </c>
      <c r="K535" s="5" t="n">
        <v>22</v>
      </c>
      <c r="L535" s="5" t="n">
        <f aca="false">J535-K535</f>
        <v>1</v>
      </c>
      <c r="M535" s="11" t="n">
        <f aca="false">IF(J535=0,0,K535/J535)</f>
        <v>0.956521739130435</v>
      </c>
    </row>
    <row r="536" customFormat="false" ht="15" hidden="false" customHeight="false" outlineLevel="0" collapsed="false">
      <c r="A536" s="5" t="s">
        <v>997</v>
      </c>
      <c r="B536" s="5" t="s">
        <v>54</v>
      </c>
      <c r="C536" s="5" t="s">
        <v>48</v>
      </c>
      <c r="D536" s="5" t="s">
        <v>448</v>
      </c>
      <c r="E536" s="5" t="s">
        <v>449</v>
      </c>
      <c r="F536" s="5" t="s">
        <v>57</v>
      </c>
      <c r="G536" s="5" t="s">
        <v>58</v>
      </c>
      <c r="H536" s="5" t="n">
        <v>0</v>
      </c>
      <c r="I536" s="5" t="n">
        <v>0</v>
      </c>
      <c r="J536" s="5" t="n">
        <v>16</v>
      </c>
      <c r="K536" s="5" t="n">
        <v>12</v>
      </c>
      <c r="L536" s="5" t="n">
        <f aca="false">J536-K536</f>
        <v>4</v>
      </c>
      <c r="M536" s="11" t="n">
        <f aca="false">IF(J536=0,0,K536/J536)</f>
        <v>0.75</v>
      </c>
    </row>
    <row r="537" customFormat="false" ht="15" hidden="false" customHeight="false" outlineLevel="0" collapsed="false">
      <c r="A537" s="5" t="s">
        <v>998</v>
      </c>
      <c r="B537" s="5" t="s">
        <v>54</v>
      </c>
      <c r="C537" s="5" t="s">
        <v>48</v>
      </c>
      <c r="D537" s="5" t="s">
        <v>374</v>
      </c>
      <c r="E537" s="5" t="s">
        <v>56</v>
      </c>
      <c r="F537" s="5" t="s">
        <v>57</v>
      </c>
      <c r="G537" s="5" t="s">
        <v>58</v>
      </c>
      <c r="H537" s="5" t="n">
        <v>0</v>
      </c>
      <c r="I537" s="5" t="n">
        <v>0</v>
      </c>
      <c r="J537" s="5" t="n">
        <v>21</v>
      </c>
      <c r="K537" s="5" t="n">
        <v>15</v>
      </c>
      <c r="L537" s="5" t="n">
        <f aca="false">J537-K537</f>
        <v>6</v>
      </c>
      <c r="M537" s="11" t="n">
        <f aca="false">IF(J537=0,0,K537/J537)</f>
        <v>0.714285714285714</v>
      </c>
    </row>
    <row r="538" customFormat="false" ht="15" hidden="false" customHeight="false" outlineLevel="0" collapsed="false">
      <c r="A538" s="5" t="s">
        <v>999</v>
      </c>
      <c r="B538" s="5" t="s">
        <v>54</v>
      </c>
      <c r="C538" s="5" t="s">
        <v>48</v>
      </c>
      <c r="D538" s="5" t="s">
        <v>183</v>
      </c>
      <c r="E538" s="5" t="s">
        <v>56</v>
      </c>
      <c r="F538" s="5" t="s">
        <v>57</v>
      </c>
      <c r="G538" s="5" t="s">
        <v>58</v>
      </c>
      <c r="H538" s="5" t="n">
        <v>0</v>
      </c>
      <c r="I538" s="5" t="n">
        <v>0</v>
      </c>
      <c r="J538" s="5" t="n">
        <v>10</v>
      </c>
      <c r="K538" s="5" t="n">
        <v>7</v>
      </c>
      <c r="L538" s="5" t="n">
        <f aca="false">J538-K538</f>
        <v>3</v>
      </c>
      <c r="M538" s="11" t="n">
        <f aca="false">IF(J538=0,0,K538/J538)</f>
        <v>0.7</v>
      </c>
    </row>
    <row r="539" customFormat="false" ht="15" hidden="false" customHeight="false" outlineLevel="0" collapsed="false">
      <c r="A539" s="5" t="s">
        <v>1000</v>
      </c>
      <c r="B539" s="5" t="s">
        <v>54</v>
      </c>
      <c r="C539" s="5" t="s">
        <v>48</v>
      </c>
      <c r="D539" s="5" t="s">
        <v>1001</v>
      </c>
      <c r="E539" s="5" t="s">
        <v>1002</v>
      </c>
      <c r="F539" s="5" t="s">
        <v>57</v>
      </c>
      <c r="G539" s="5" t="s">
        <v>58</v>
      </c>
      <c r="H539" s="5" t="n">
        <v>0</v>
      </c>
      <c r="I539" s="5" t="n">
        <v>0</v>
      </c>
      <c r="J539" s="5" t="n">
        <v>8</v>
      </c>
      <c r="K539" s="5" t="n">
        <v>3</v>
      </c>
      <c r="L539" s="5" t="n">
        <f aca="false">J539-K539</f>
        <v>5</v>
      </c>
      <c r="M539" s="11" t="n">
        <f aca="false">IF(J539=0,0,K539/J539)</f>
        <v>0.375</v>
      </c>
    </row>
    <row r="540" customFormat="false" ht="15" hidden="false" customHeight="false" outlineLevel="0" collapsed="false">
      <c r="A540" s="5" t="s">
        <v>1003</v>
      </c>
      <c r="B540" s="5" t="s">
        <v>54</v>
      </c>
      <c r="C540" s="5" t="s">
        <v>48</v>
      </c>
      <c r="D540" s="5" t="s">
        <v>1004</v>
      </c>
      <c r="E540" s="5" t="s">
        <v>124</v>
      </c>
      <c r="F540" s="5" t="s">
        <v>57</v>
      </c>
      <c r="G540" s="5" t="s">
        <v>58</v>
      </c>
      <c r="H540" s="5" t="n">
        <v>0</v>
      </c>
      <c r="I540" s="5" t="n">
        <v>0</v>
      </c>
      <c r="J540" s="5" t="n">
        <v>9</v>
      </c>
      <c r="K540" s="5" t="n">
        <v>7</v>
      </c>
      <c r="L540" s="5" t="n">
        <f aca="false">J540-K540</f>
        <v>2</v>
      </c>
      <c r="M540" s="11" t="n">
        <f aca="false">IF(J540=0,0,K540/J540)</f>
        <v>0.777777777777778</v>
      </c>
    </row>
    <row r="541" customFormat="false" ht="15" hidden="false" customHeight="false" outlineLevel="0" collapsed="false">
      <c r="A541" s="5" t="s">
        <v>1005</v>
      </c>
      <c r="B541" s="5" t="s">
        <v>54</v>
      </c>
      <c r="C541" s="5" t="s">
        <v>48</v>
      </c>
      <c r="D541" s="5" t="s">
        <v>84</v>
      </c>
      <c r="E541" s="5" t="s">
        <v>1006</v>
      </c>
      <c r="F541" s="5" t="s">
        <v>57</v>
      </c>
      <c r="G541" s="5" t="s">
        <v>58</v>
      </c>
      <c r="H541" s="5" t="n">
        <v>0</v>
      </c>
      <c r="I541" s="5" t="n">
        <v>0</v>
      </c>
      <c r="J541" s="5" t="n">
        <v>22</v>
      </c>
      <c r="K541" s="5" t="n">
        <v>19</v>
      </c>
      <c r="L541" s="5" t="n">
        <f aca="false">J541-K541</f>
        <v>3</v>
      </c>
      <c r="M541" s="11" t="n">
        <f aca="false">IF(J541=0,0,K541/J541)</f>
        <v>0.863636363636364</v>
      </c>
    </row>
    <row r="542" customFormat="false" ht="15" hidden="false" customHeight="false" outlineLevel="0" collapsed="false">
      <c r="A542" s="5" t="s">
        <v>1007</v>
      </c>
      <c r="B542" s="5" t="s">
        <v>54</v>
      </c>
      <c r="C542" s="5" t="s">
        <v>48</v>
      </c>
      <c r="D542" s="5" t="s">
        <v>1008</v>
      </c>
      <c r="E542" s="5" t="s">
        <v>796</v>
      </c>
      <c r="F542" s="5" t="s">
        <v>57</v>
      </c>
      <c r="G542" s="5" t="s">
        <v>58</v>
      </c>
      <c r="H542" s="5" t="n">
        <v>0</v>
      </c>
      <c r="I542" s="5" t="n">
        <v>0</v>
      </c>
      <c r="J542" s="5" t="n">
        <v>17</v>
      </c>
      <c r="K542" s="5" t="n">
        <v>15</v>
      </c>
      <c r="L542" s="5" t="n">
        <f aca="false">J542-K542</f>
        <v>2</v>
      </c>
      <c r="M542" s="11" t="n">
        <f aca="false">IF(J542=0,0,K542/J542)</f>
        <v>0.882352941176471</v>
      </c>
    </row>
    <row r="543" customFormat="false" ht="15" hidden="false" customHeight="false" outlineLevel="0" collapsed="false">
      <c r="A543" s="5" t="s">
        <v>1009</v>
      </c>
      <c r="B543" s="5" t="s">
        <v>54</v>
      </c>
      <c r="C543" s="5" t="s">
        <v>48</v>
      </c>
      <c r="D543" s="5" t="s">
        <v>1010</v>
      </c>
      <c r="E543" s="5" t="s">
        <v>473</v>
      </c>
      <c r="F543" s="5" t="s">
        <v>57</v>
      </c>
      <c r="G543" s="5" t="s">
        <v>58</v>
      </c>
      <c r="H543" s="5" t="n">
        <v>0</v>
      </c>
      <c r="I543" s="5" t="n">
        <v>0</v>
      </c>
      <c r="J543" s="5" t="n">
        <v>36</v>
      </c>
      <c r="K543" s="5" t="n">
        <v>33</v>
      </c>
      <c r="L543" s="5" t="n">
        <f aca="false">J543-K543</f>
        <v>3</v>
      </c>
      <c r="M543" s="11" t="n">
        <f aca="false">IF(J543=0,0,K543/J543)</f>
        <v>0.916666666666667</v>
      </c>
    </row>
    <row r="544" customFormat="false" ht="15" hidden="false" customHeight="false" outlineLevel="0" collapsed="false">
      <c r="A544" s="5" t="s">
        <v>1011</v>
      </c>
      <c r="B544" s="5" t="s">
        <v>54</v>
      </c>
      <c r="C544" s="5" t="s">
        <v>48</v>
      </c>
      <c r="D544" s="5" t="s">
        <v>1012</v>
      </c>
      <c r="E544" s="5" t="s">
        <v>753</v>
      </c>
      <c r="F544" s="5" t="s">
        <v>57</v>
      </c>
      <c r="G544" s="5" t="s">
        <v>58</v>
      </c>
      <c r="H544" s="5" t="n">
        <v>0</v>
      </c>
      <c r="I544" s="5" t="n">
        <v>0</v>
      </c>
      <c r="J544" s="5" t="n">
        <v>24</v>
      </c>
      <c r="K544" s="5" t="n">
        <v>21</v>
      </c>
      <c r="L544" s="5" t="n">
        <f aca="false">J544-K544</f>
        <v>3</v>
      </c>
      <c r="M544" s="11" t="n">
        <f aca="false">IF(J544=0,0,K544/J544)</f>
        <v>0.875</v>
      </c>
    </row>
    <row r="545" customFormat="false" ht="15" hidden="false" customHeight="false" outlineLevel="0" collapsed="false">
      <c r="A545" s="5" t="s">
        <v>1013</v>
      </c>
      <c r="B545" s="5" t="s">
        <v>54</v>
      </c>
      <c r="C545" s="5" t="s">
        <v>48</v>
      </c>
      <c r="D545" s="5" t="s">
        <v>1014</v>
      </c>
      <c r="E545" s="5" t="s">
        <v>206</v>
      </c>
      <c r="F545" s="5" t="s">
        <v>57</v>
      </c>
      <c r="G545" s="5" t="s">
        <v>58</v>
      </c>
      <c r="H545" s="5" t="n">
        <v>0</v>
      </c>
      <c r="I545" s="5" t="n">
        <v>0</v>
      </c>
      <c r="J545" s="5" t="n">
        <v>29</v>
      </c>
      <c r="K545" s="5" t="n">
        <v>24</v>
      </c>
      <c r="L545" s="5" t="n">
        <f aca="false">J545-K545</f>
        <v>5</v>
      </c>
      <c r="M545" s="11" t="n">
        <f aca="false">IF(J545=0,0,K545/J545)</f>
        <v>0.827586206896552</v>
      </c>
    </row>
    <row r="546" customFormat="false" ht="15" hidden="false" customHeight="false" outlineLevel="0" collapsed="false">
      <c r="A546" s="5" t="s">
        <v>1015</v>
      </c>
      <c r="B546" s="5" t="s">
        <v>54</v>
      </c>
      <c r="C546" s="5" t="s">
        <v>48</v>
      </c>
      <c r="D546" s="5" t="s">
        <v>494</v>
      </c>
      <c r="E546" s="5" t="s">
        <v>56</v>
      </c>
      <c r="F546" s="5" t="s">
        <v>57</v>
      </c>
      <c r="G546" s="5" t="s">
        <v>58</v>
      </c>
      <c r="H546" s="5" t="n">
        <v>0</v>
      </c>
      <c r="I546" s="5" t="n">
        <v>0</v>
      </c>
      <c r="J546" s="5" t="n">
        <v>17</v>
      </c>
      <c r="K546" s="5" t="n">
        <v>9</v>
      </c>
      <c r="L546" s="5" t="n">
        <f aca="false">J546-K546</f>
        <v>8</v>
      </c>
      <c r="M546" s="11" t="n">
        <f aca="false">IF(J546=0,0,K546/J546)</f>
        <v>0.529411764705882</v>
      </c>
    </row>
    <row r="547" customFormat="false" ht="15" hidden="false" customHeight="false" outlineLevel="0" collapsed="false">
      <c r="A547" s="5" t="s">
        <v>1016</v>
      </c>
      <c r="B547" s="5" t="s">
        <v>54</v>
      </c>
      <c r="C547" s="5" t="s">
        <v>48</v>
      </c>
      <c r="D547" s="5" t="s">
        <v>1017</v>
      </c>
      <c r="E547" s="5" t="s">
        <v>56</v>
      </c>
      <c r="F547" s="5" t="s">
        <v>57</v>
      </c>
      <c r="G547" s="5" t="s">
        <v>58</v>
      </c>
      <c r="H547" s="5" t="n">
        <v>0</v>
      </c>
      <c r="I547" s="5" t="n">
        <v>0</v>
      </c>
      <c r="J547" s="5" t="n">
        <v>16</v>
      </c>
      <c r="K547" s="5" t="n">
        <v>15</v>
      </c>
      <c r="L547" s="5" t="n">
        <f aca="false">J547-K547</f>
        <v>1</v>
      </c>
      <c r="M547" s="11" t="n">
        <f aca="false">IF(J547=0,0,K547/J547)</f>
        <v>0.9375</v>
      </c>
    </row>
    <row r="548" customFormat="false" ht="15" hidden="false" customHeight="false" outlineLevel="0" collapsed="false">
      <c r="A548" s="5" t="s">
        <v>1018</v>
      </c>
      <c r="B548" s="5" t="s">
        <v>54</v>
      </c>
      <c r="C548" s="5" t="s">
        <v>48</v>
      </c>
      <c r="D548" s="5" t="s">
        <v>1019</v>
      </c>
      <c r="E548" s="5" t="s">
        <v>56</v>
      </c>
      <c r="F548" s="5" t="s">
        <v>57</v>
      </c>
      <c r="G548" s="5" t="s">
        <v>58</v>
      </c>
      <c r="H548" s="5" t="n">
        <v>0</v>
      </c>
      <c r="I548" s="5" t="n">
        <v>0</v>
      </c>
      <c r="J548" s="5" t="n">
        <v>16</v>
      </c>
      <c r="K548" s="5" t="n">
        <v>14</v>
      </c>
      <c r="L548" s="5" t="n">
        <f aca="false">J548-K548</f>
        <v>2</v>
      </c>
      <c r="M548" s="11" t="n">
        <f aca="false">IF(J548=0,0,K548/J548)</f>
        <v>0.875</v>
      </c>
    </row>
    <row r="549" customFormat="false" ht="15" hidden="false" customHeight="false" outlineLevel="0" collapsed="false">
      <c r="A549" s="5" t="s">
        <v>1020</v>
      </c>
      <c r="B549" s="5" t="s">
        <v>54</v>
      </c>
      <c r="C549" s="5" t="s">
        <v>48</v>
      </c>
      <c r="D549" s="5" t="s">
        <v>82</v>
      </c>
      <c r="E549" s="5" t="s">
        <v>463</v>
      </c>
      <c r="F549" s="5" t="s">
        <v>57</v>
      </c>
      <c r="G549" s="5" t="s">
        <v>58</v>
      </c>
      <c r="H549" s="5" t="n">
        <v>0</v>
      </c>
      <c r="I549" s="5" t="n">
        <v>0</v>
      </c>
      <c r="J549" s="5" t="n">
        <v>25</v>
      </c>
      <c r="K549" s="5" t="n">
        <v>22</v>
      </c>
      <c r="L549" s="5" t="n">
        <f aca="false">J549-K549</f>
        <v>3</v>
      </c>
      <c r="M549" s="11" t="n">
        <f aca="false">IF(J549=0,0,K549/J549)</f>
        <v>0.88</v>
      </c>
    </row>
    <row r="550" customFormat="false" ht="15" hidden="false" customHeight="false" outlineLevel="0" collapsed="false">
      <c r="A550" s="5" t="s">
        <v>1021</v>
      </c>
      <c r="B550" s="5" t="s">
        <v>54</v>
      </c>
      <c r="C550" s="5" t="s">
        <v>48</v>
      </c>
      <c r="D550" s="5" t="s">
        <v>465</v>
      </c>
      <c r="E550" s="5" t="s">
        <v>56</v>
      </c>
      <c r="F550" s="5" t="s">
        <v>57</v>
      </c>
      <c r="G550" s="5" t="s">
        <v>58</v>
      </c>
      <c r="H550" s="5" t="n">
        <v>0</v>
      </c>
      <c r="I550" s="5" t="n">
        <v>0</v>
      </c>
      <c r="J550" s="5" t="n">
        <v>26</v>
      </c>
      <c r="K550" s="5" t="n">
        <v>26</v>
      </c>
      <c r="L550" s="5" t="n">
        <f aca="false">J550-K550</f>
        <v>0</v>
      </c>
      <c r="M550" s="11" t="n">
        <f aca="false">IF(J550=0,0,K550/J550)</f>
        <v>1</v>
      </c>
    </row>
    <row r="551" customFormat="false" ht="15" hidden="false" customHeight="false" outlineLevel="0" collapsed="false">
      <c r="A551" s="5" t="s">
        <v>1022</v>
      </c>
      <c r="B551" s="5" t="s">
        <v>54</v>
      </c>
      <c r="C551" s="5" t="s">
        <v>48</v>
      </c>
      <c r="D551" s="5" t="s">
        <v>1023</v>
      </c>
      <c r="E551" s="5" t="s">
        <v>85</v>
      </c>
      <c r="F551" s="5" t="s">
        <v>57</v>
      </c>
      <c r="G551" s="5" t="s">
        <v>58</v>
      </c>
      <c r="H551" s="5" t="n">
        <v>0</v>
      </c>
      <c r="I551" s="5" t="n">
        <v>0</v>
      </c>
      <c r="J551" s="5" t="n">
        <v>22</v>
      </c>
      <c r="K551" s="5" t="n">
        <v>19</v>
      </c>
      <c r="L551" s="5" t="n">
        <f aca="false">J551-K551</f>
        <v>3</v>
      </c>
      <c r="M551" s="11" t="n">
        <f aca="false">IF(J551=0,0,K551/J551)</f>
        <v>0.863636363636364</v>
      </c>
    </row>
    <row r="552" customFormat="false" ht="15" hidden="false" customHeight="false" outlineLevel="0" collapsed="false">
      <c r="A552" s="5" t="s">
        <v>1024</v>
      </c>
      <c r="B552" s="5" t="s">
        <v>54</v>
      </c>
      <c r="C552" s="5" t="s">
        <v>48</v>
      </c>
      <c r="D552" s="5" t="s">
        <v>378</v>
      </c>
      <c r="E552" s="5" t="s">
        <v>206</v>
      </c>
      <c r="F552" s="5" t="s">
        <v>57</v>
      </c>
      <c r="G552" s="5" t="s">
        <v>58</v>
      </c>
      <c r="H552" s="5" t="n">
        <v>0</v>
      </c>
      <c r="I552" s="5" t="n">
        <v>0</v>
      </c>
      <c r="J552" s="5" t="n">
        <v>24</v>
      </c>
      <c r="K552" s="5" t="n">
        <v>18</v>
      </c>
      <c r="L552" s="5" t="n">
        <f aca="false">J552-K552</f>
        <v>6</v>
      </c>
      <c r="M552" s="11" t="n">
        <f aca="false">IF(J552=0,0,K552/J552)</f>
        <v>0.75</v>
      </c>
    </row>
    <row r="553" customFormat="false" ht="15" hidden="false" customHeight="false" outlineLevel="0" collapsed="false">
      <c r="A553" s="5" t="s">
        <v>1025</v>
      </c>
      <c r="B553" s="5" t="s">
        <v>54</v>
      </c>
      <c r="C553" s="5" t="s">
        <v>48</v>
      </c>
      <c r="D553" s="5" t="s">
        <v>119</v>
      </c>
      <c r="E553" s="5" t="s">
        <v>56</v>
      </c>
      <c r="F553" s="5" t="s">
        <v>57</v>
      </c>
      <c r="G553" s="5" t="s">
        <v>58</v>
      </c>
      <c r="H553" s="5" t="n">
        <v>0</v>
      </c>
      <c r="I553" s="5" t="n">
        <v>0</v>
      </c>
      <c r="J553" s="5" t="n">
        <v>18</v>
      </c>
      <c r="K553" s="5" t="n">
        <v>16</v>
      </c>
      <c r="L553" s="5" t="n">
        <f aca="false">J553-K553</f>
        <v>2</v>
      </c>
      <c r="M553" s="11" t="n">
        <f aca="false">IF(J553=0,0,K553/J553)</f>
        <v>0.888888888888889</v>
      </c>
    </row>
    <row r="554" customFormat="false" ht="15" hidden="false" customHeight="false" outlineLevel="0" collapsed="false">
      <c r="A554" s="5" t="s">
        <v>1026</v>
      </c>
      <c r="B554" s="5" t="s">
        <v>54</v>
      </c>
      <c r="C554" s="5" t="s">
        <v>48</v>
      </c>
      <c r="D554" s="5" t="s">
        <v>1027</v>
      </c>
      <c r="E554" s="5" t="s">
        <v>1028</v>
      </c>
      <c r="F554" s="5" t="s">
        <v>57</v>
      </c>
      <c r="G554" s="5" t="s">
        <v>58</v>
      </c>
      <c r="H554" s="5" t="n">
        <v>0</v>
      </c>
      <c r="I554" s="5" t="n">
        <v>0</v>
      </c>
      <c r="J554" s="5" t="n">
        <v>10</v>
      </c>
      <c r="K554" s="5" t="n">
        <v>4</v>
      </c>
      <c r="L554" s="5" t="n">
        <f aca="false">J554-K554</f>
        <v>6</v>
      </c>
      <c r="M554" s="11" t="n">
        <f aca="false">IF(J554=0,0,K554/J554)</f>
        <v>0.4</v>
      </c>
    </row>
    <row r="555" customFormat="false" ht="15" hidden="false" customHeight="false" outlineLevel="0" collapsed="false">
      <c r="A555" s="5" t="s">
        <v>1029</v>
      </c>
      <c r="B555" s="5" t="s">
        <v>54</v>
      </c>
      <c r="C555" s="5" t="s">
        <v>48</v>
      </c>
      <c r="D555" s="5" t="s">
        <v>980</v>
      </c>
      <c r="E555" s="5" t="s">
        <v>1030</v>
      </c>
      <c r="F555" s="5" t="s">
        <v>57</v>
      </c>
      <c r="G555" s="5" t="s">
        <v>58</v>
      </c>
      <c r="H555" s="5" t="n">
        <v>0</v>
      </c>
      <c r="I555" s="5" t="n">
        <v>0</v>
      </c>
      <c r="J555" s="5" t="n">
        <v>12</v>
      </c>
      <c r="K555" s="5" t="n">
        <v>9</v>
      </c>
      <c r="L555" s="5" t="n">
        <f aca="false">J555-K555</f>
        <v>3</v>
      </c>
      <c r="M555" s="11" t="n">
        <f aca="false">IF(J555=0,0,K555/J555)</f>
        <v>0.75</v>
      </c>
    </row>
    <row r="556" customFormat="false" ht="15" hidden="false" customHeight="false" outlineLevel="0" collapsed="false">
      <c r="A556" s="5" t="s">
        <v>1031</v>
      </c>
      <c r="B556" s="5" t="s">
        <v>54</v>
      </c>
      <c r="C556" s="5" t="s">
        <v>48</v>
      </c>
      <c r="D556" s="5" t="s">
        <v>501</v>
      </c>
      <c r="E556" s="5" t="s">
        <v>1032</v>
      </c>
      <c r="F556" s="5" t="s">
        <v>57</v>
      </c>
      <c r="G556" s="5" t="s">
        <v>58</v>
      </c>
      <c r="H556" s="5" t="n">
        <v>0</v>
      </c>
      <c r="I556" s="5" t="n">
        <v>0</v>
      </c>
      <c r="J556" s="5" t="n">
        <v>36</v>
      </c>
      <c r="K556" s="5" t="n">
        <v>32</v>
      </c>
      <c r="L556" s="5" t="n">
        <f aca="false">J556-K556</f>
        <v>4</v>
      </c>
      <c r="M556" s="11" t="n">
        <f aca="false">IF(J556=0,0,K556/J556)</f>
        <v>0.888888888888889</v>
      </c>
    </row>
    <row r="557" customFormat="false" ht="15" hidden="false" customHeight="false" outlineLevel="0" collapsed="false">
      <c r="A557" s="5" t="s">
        <v>1033</v>
      </c>
      <c r="B557" s="5" t="s">
        <v>54</v>
      </c>
      <c r="C557" s="5" t="s">
        <v>48</v>
      </c>
      <c r="D557" s="5" t="s">
        <v>87</v>
      </c>
      <c r="E557" s="5" t="s">
        <v>1034</v>
      </c>
      <c r="F557" s="5" t="s">
        <v>57</v>
      </c>
      <c r="G557" s="5" t="s">
        <v>58</v>
      </c>
      <c r="H557" s="5" t="n">
        <v>0</v>
      </c>
      <c r="I557" s="5" t="n">
        <v>0</v>
      </c>
      <c r="J557" s="5" t="n">
        <v>9</v>
      </c>
      <c r="K557" s="5" t="n">
        <v>5</v>
      </c>
      <c r="L557" s="5" t="n">
        <f aca="false">J557-K557</f>
        <v>4</v>
      </c>
      <c r="M557" s="11" t="n">
        <f aca="false">IF(J557=0,0,K557/J557)</f>
        <v>0.555555555555556</v>
      </c>
    </row>
    <row r="558" customFormat="false" ht="15" hidden="false" customHeight="false" outlineLevel="0" collapsed="false">
      <c r="A558" s="5" t="s">
        <v>1035</v>
      </c>
      <c r="B558" s="5" t="s">
        <v>54</v>
      </c>
      <c r="C558" s="5" t="s">
        <v>48</v>
      </c>
      <c r="D558" s="5" t="s">
        <v>469</v>
      </c>
      <c r="E558" s="5" t="s">
        <v>56</v>
      </c>
      <c r="F558" s="5" t="s">
        <v>57</v>
      </c>
      <c r="G558" s="5" t="s">
        <v>58</v>
      </c>
      <c r="H558" s="5" t="n">
        <v>0</v>
      </c>
      <c r="I558" s="5" t="n">
        <v>0</v>
      </c>
      <c r="J558" s="5" t="n">
        <v>20</v>
      </c>
      <c r="K558" s="5" t="n">
        <v>18</v>
      </c>
      <c r="L558" s="5" t="n">
        <f aca="false">J558-K558</f>
        <v>2</v>
      </c>
      <c r="M558" s="11" t="n">
        <f aca="false">IF(J558=0,0,K558/J558)</f>
        <v>0.9</v>
      </c>
    </row>
    <row r="559" customFormat="false" ht="15" hidden="false" customHeight="false" outlineLevel="0" collapsed="false">
      <c r="A559" s="5" t="s">
        <v>1036</v>
      </c>
      <c r="B559" s="5" t="s">
        <v>54</v>
      </c>
      <c r="C559" s="5" t="s">
        <v>48</v>
      </c>
      <c r="D559" s="5" t="s">
        <v>471</v>
      </c>
      <c r="E559" s="5" t="s">
        <v>206</v>
      </c>
      <c r="F559" s="5" t="s">
        <v>57</v>
      </c>
      <c r="G559" s="5" t="s">
        <v>58</v>
      </c>
      <c r="H559" s="5" t="n">
        <v>0</v>
      </c>
      <c r="I559" s="5" t="n">
        <v>0</v>
      </c>
      <c r="J559" s="5" t="n">
        <v>15</v>
      </c>
      <c r="K559" s="5" t="n">
        <v>15</v>
      </c>
      <c r="L559" s="5" t="n">
        <f aca="false">J559-K559</f>
        <v>0</v>
      </c>
      <c r="M559" s="11" t="n">
        <f aca="false">IF(J559=0,0,K559/J559)</f>
        <v>1</v>
      </c>
    </row>
    <row r="560" customFormat="false" ht="15" hidden="false" customHeight="false" outlineLevel="0" collapsed="false">
      <c r="A560" s="5" t="s">
        <v>1037</v>
      </c>
      <c r="B560" s="5" t="s">
        <v>54</v>
      </c>
      <c r="C560" s="5" t="s">
        <v>48</v>
      </c>
      <c r="D560" s="5" t="s">
        <v>183</v>
      </c>
      <c r="E560" s="5" t="s">
        <v>927</v>
      </c>
      <c r="F560" s="5" t="s">
        <v>57</v>
      </c>
      <c r="G560" s="5" t="s">
        <v>58</v>
      </c>
      <c r="H560" s="5" t="n">
        <v>0</v>
      </c>
      <c r="I560" s="5" t="n">
        <v>0</v>
      </c>
      <c r="J560" s="5" t="n">
        <v>22</v>
      </c>
      <c r="K560" s="5" t="n">
        <v>21</v>
      </c>
      <c r="L560" s="5" t="n">
        <f aca="false">J560-K560</f>
        <v>1</v>
      </c>
      <c r="M560" s="11" t="n">
        <f aca="false">IF(J560=0,0,K560/J560)</f>
        <v>0.954545454545455</v>
      </c>
    </row>
    <row r="561" customFormat="false" ht="15" hidden="false" customHeight="false" outlineLevel="0" collapsed="false">
      <c r="A561" s="5" t="s">
        <v>1038</v>
      </c>
      <c r="B561" s="5" t="s">
        <v>54</v>
      </c>
      <c r="C561" s="5" t="s">
        <v>48</v>
      </c>
      <c r="D561" s="5" t="s">
        <v>393</v>
      </c>
      <c r="E561" s="5" t="s">
        <v>446</v>
      </c>
      <c r="F561" s="5" t="s">
        <v>57</v>
      </c>
      <c r="G561" s="5" t="s">
        <v>58</v>
      </c>
      <c r="H561" s="5" t="n">
        <v>0</v>
      </c>
      <c r="I561" s="5" t="n">
        <v>0</v>
      </c>
      <c r="J561" s="5" t="n">
        <v>28</v>
      </c>
      <c r="K561" s="5" t="n">
        <v>28</v>
      </c>
      <c r="L561" s="5" t="n">
        <f aca="false">J561-K561</f>
        <v>0</v>
      </c>
      <c r="M561" s="11" t="n">
        <f aca="false">IF(J561=0,0,K561/J561)</f>
        <v>1</v>
      </c>
    </row>
    <row r="562" customFormat="false" ht="15" hidden="false" customHeight="false" outlineLevel="0" collapsed="false">
      <c r="A562" s="5" t="s">
        <v>1039</v>
      </c>
      <c r="B562" s="5" t="s">
        <v>475</v>
      </c>
      <c r="C562" s="5" t="s">
        <v>48</v>
      </c>
      <c r="D562" s="5" t="s">
        <v>288</v>
      </c>
      <c r="E562" s="5" t="s">
        <v>85</v>
      </c>
      <c r="F562" s="5" t="s">
        <v>51</v>
      </c>
      <c r="G562" s="5" t="s">
        <v>52</v>
      </c>
      <c r="H562" s="5" t="n">
        <v>7</v>
      </c>
      <c r="I562" s="5" t="n">
        <v>7</v>
      </c>
      <c r="J562" s="5" t="n">
        <v>7</v>
      </c>
      <c r="K562" s="5" t="n">
        <v>7</v>
      </c>
      <c r="L562" s="5" t="n">
        <f aca="false">J562-K562</f>
        <v>0</v>
      </c>
      <c r="M562" s="11" t="n">
        <f aca="false">IF(J562=0,0,K562/J562)</f>
        <v>1</v>
      </c>
    </row>
    <row r="563" customFormat="false" ht="15" hidden="false" customHeight="false" outlineLevel="0" collapsed="false">
      <c r="A563" s="5" t="s">
        <v>1040</v>
      </c>
      <c r="B563" s="5" t="s">
        <v>475</v>
      </c>
      <c r="C563" s="5" t="s">
        <v>48</v>
      </c>
      <c r="D563" s="5" t="s">
        <v>477</v>
      </c>
      <c r="E563" s="5" t="s">
        <v>64</v>
      </c>
      <c r="F563" s="5" t="s">
        <v>51</v>
      </c>
      <c r="G563" s="5" t="s">
        <v>52</v>
      </c>
      <c r="H563" s="5" t="n">
        <v>7</v>
      </c>
      <c r="I563" s="5" t="n">
        <v>7</v>
      </c>
      <c r="J563" s="5" t="n">
        <v>7</v>
      </c>
      <c r="K563" s="5" t="n">
        <v>7</v>
      </c>
      <c r="L563" s="5" t="n">
        <f aca="false">J563-K563</f>
        <v>0</v>
      </c>
      <c r="M563" s="11" t="n">
        <f aca="false">IF(J563=0,0,K563/J563)</f>
        <v>1</v>
      </c>
    </row>
    <row r="564" customFormat="false" ht="15" hidden="false" customHeight="false" outlineLevel="0" collapsed="false">
      <c r="A564" s="5" t="s">
        <v>1041</v>
      </c>
      <c r="B564" s="5" t="s">
        <v>475</v>
      </c>
      <c r="C564" s="5" t="s">
        <v>48</v>
      </c>
      <c r="D564" s="5" t="s">
        <v>56</v>
      </c>
      <c r="E564" s="5" t="s">
        <v>463</v>
      </c>
      <c r="F564" s="5" t="s">
        <v>51</v>
      </c>
      <c r="G564" s="5" t="s">
        <v>52</v>
      </c>
      <c r="H564" s="5" t="n">
        <v>8</v>
      </c>
      <c r="I564" s="5" t="n">
        <v>8</v>
      </c>
      <c r="J564" s="5" t="n">
        <v>7</v>
      </c>
      <c r="K564" s="5" t="n">
        <v>7</v>
      </c>
      <c r="L564" s="5" t="n">
        <f aca="false">J564-K564</f>
        <v>0</v>
      </c>
      <c r="M564" s="11" t="n">
        <f aca="false">IF(J564=0,0,K564/J564)</f>
        <v>1</v>
      </c>
    </row>
    <row r="565" customFormat="false" ht="15" hidden="false" customHeight="false" outlineLevel="0" collapsed="false">
      <c r="A565" s="5" t="s">
        <v>1042</v>
      </c>
      <c r="B565" s="5" t="s">
        <v>54</v>
      </c>
      <c r="C565" s="5" t="s">
        <v>48</v>
      </c>
      <c r="D565" s="5" t="s">
        <v>84</v>
      </c>
      <c r="E565" s="5" t="s">
        <v>56</v>
      </c>
      <c r="F565" s="5" t="s">
        <v>294</v>
      </c>
      <c r="G565" s="5" t="s">
        <v>295</v>
      </c>
      <c r="H565" s="5" t="n">
        <v>0</v>
      </c>
      <c r="I565" s="5" t="n">
        <v>0</v>
      </c>
      <c r="J565" s="5" t="n">
        <v>9</v>
      </c>
      <c r="K565" s="5" t="n">
        <v>9</v>
      </c>
      <c r="L565" s="5" t="n">
        <f aca="false">J565-K565</f>
        <v>0</v>
      </c>
      <c r="M565" s="11" t="n">
        <f aca="false">IF(J565=0,0,K565/J565)</f>
        <v>1</v>
      </c>
    </row>
    <row r="566" customFormat="false" ht="15" hidden="false" customHeight="false" outlineLevel="0" collapsed="false">
      <c r="A566" s="5" t="s">
        <v>1043</v>
      </c>
      <c r="B566" s="5" t="s">
        <v>54</v>
      </c>
      <c r="C566" s="5" t="s">
        <v>48</v>
      </c>
      <c r="D566" s="5" t="s">
        <v>446</v>
      </c>
      <c r="E566" s="5" t="s">
        <v>56</v>
      </c>
      <c r="F566" s="5" t="s">
        <v>294</v>
      </c>
      <c r="G566" s="5" t="s">
        <v>295</v>
      </c>
      <c r="H566" s="5" t="n">
        <v>0</v>
      </c>
      <c r="I566" s="5" t="n">
        <v>0</v>
      </c>
      <c r="J566" s="5" t="n">
        <v>9</v>
      </c>
      <c r="K566" s="5" t="n">
        <v>9</v>
      </c>
      <c r="L566" s="5" t="n">
        <f aca="false">J566-K566</f>
        <v>0</v>
      </c>
      <c r="M566" s="11" t="n">
        <f aca="false">IF(J566=0,0,K566/J566)</f>
        <v>1</v>
      </c>
    </row>
    <row r="567" customFormat="false" ht="15" hidden="false" customHeight="false" outlineLevel="0" collapsed="false">
      <c r="A567" s="5" t="s">
        <v>1044</v>
      </c>
      <c r="B567" s="5" t="s">
        <v>54</v>
      </c>
      <c r="C567" s="5" t="s">
        <v>48</v>
      </c>
      <c r="D567" s="5" t="s">
        <v>463</v>
      </c>
      <c r="E567" s="5" t="s">
        <v>85</v>
      </c>
      <c r="F567" s="5" t="s">
        <v>57</v>
      </c>
      <c r="G567" s="5" t="s">
        <v>58</v>
      </c>
      <c r="H567" s="5" t="n">
        <v>0</v>
      </c>
      <c r="I567" s="5" t="n">
        <v>0</v>
      </c>
      <c r="J567" s="5" t="n">
        <v>19</v>
      </c>
      <c r="K567" s="5" t="n">
        <v>19</v>
      </c>
      <c r="L567" s="5" t="n">
        <f aca="false">J567-K567</f>
        <v>0</v>
      </c>
      <c r="M567" s="11" t="n">
        <f aca="false">IF(J567=0,0,K567/J567)</f>
        <v>1</v>
      </c>
    </row>
    <row r="568" customFormat="false" ht="15" hidden="false" customHeight="false" outlineLevel="0" collapsed="false">
      <c r="A568" s="5" t="s">
        <v>1045</v>
      </c>
      <c r="B568" s="5" t="s">
        <v>54</v>
      </c>
      <c r="C568" s="5" t="s">
        <v>48</v>
      </c>
      <c r="D568" s="5" t="s">
        <v>206</v>
      </c>
      <c r="E568" s="5" t="s">
        <v>309</v>
      </c>
      <c r="F568" s="5" t="s">
        <v>294</v>
      </c>
      <c r="G568" s="5" t="s">
        <v>295</v>
      </c>
      <c r="H568" s="5" t="n">
        <v>0</v>
      </c>
      <c r="I568" s="5" t="n">
        <v>0</v>
      </c>
      <c r="J568" s="5" t="n">
        <v>9</v>
      </c>
      <c r="K568" s="5" t="n">
        <v>9</v>
      </c>
      <c r="L568" s="5" t="n">
        <f aca="false">J568-K568</f>
        <v>0</v>
      </c>
      <c r="M568" s="11" t="n">
        <f aca="false">IF(J568=0,0,K568/J568)</f>
        <v>1</v>
      </c>
    </row>
    <row r="569" customFormat="false" ht="15" hidden="false" customHeight="false" outlineLevel="0" collapsed="false">
      <c r="A569" s="5" t="s">
        <v>1046</v>
      </c>
      <c r="B569" s="5" t="s">
        <v>475</v>
      </c>
      <c r="C569" s="5" t="s">
        <v>48</v>
      </c>
      <c r="D569" s="5" t="s">
        <v>133</v>
      </c>
      <c r="E569" s="5" t="s">
        <v>56</v>
      </c>
      <c r="F569" s="5" t="s">
        <v>51</v>
      </c>
      <c r="G569" s="5" t="s">
        <v>52</v>
      </c>
      <c r="H569" s="5" t="n">
        <v>8</v>
      </c>
      <c r="I569" s="5" t="n">
        <v>8</v>
      </c>
      <c r="J569" s="5" t="n">
        <v>7</v>
      </c>
      <c r="K569" s="5" t="n">
        <v>7</v>
      </c>
      <c r="L569" s="5" t="n">
        <f aca="false">J569-K569</f>
        <v>0</v>
      </c>
      <c r="M569" s="11" t="n">
        <f aca="false">IF(J569=0,0,K569/J569)</f>
        <v>1</v>
      </c>
    </row>
    <row r="570" customFormat="false" ht="15" hidden="false" customHeight="false" outlineLevel="0" collapsed="false">
      <c r="A570" s="5" t="s">
        <v>1047</v>
      </c>
      <c r="B570" s="5" t="s">
        <v>475</v>
      </c>
      <c r="C570" s="5" t="s">
        <v>48</v>
      </c>
      <c r="D570" s="5" t="s">
        <v>485</v>
      </c>
      <c r="E570" s="5" t="s">
        <v>218</v>
      </c>
      <c r="F570" s="5" t="s">
        <v>51</v>
      </c>
      <c r="G570" s="5" t="s">
        <v>52</v>
      </c>
      <c r="H570" s="5" t="n">
        <v>7</v>
      </c>
      <c r="I570" s="5" t="n">
        <v>7</v>
      </c>
      <c r="J570" s="5" t="n">
        <v>7</v>
      </c>
      <c r="K570" s="5" t="n">
        <v>7</v>
      </c>
      <c r="L570" s="5" t="n">
        <f aca="false">J570-K570</f>
        <v>0</v>
      </c>
      <c r="M570" s="11" t="n">
        <f aca="false">IF(J570=0,0,K570/J570)</f>
        <v>1</v>
      </c>
    </row>
    <row r="571" customFormat="false" ht="15" hidden="false" customHeight="false" outlineLevel="0" collapsed="false">
      <c r="A571" s="5" t="s">
        <v>1048</v>
      </c>
      <c r="B571" s="5" t="s">
        <v>475</v>
      </c>
      <c r="C571" s="5" t="s">
        <v>48</v>
      </c>
      <c r="D571" s="5" t="s">
        <v>1012</v>
      </c>
      <c r="E571" s="5" t="s">
        <v>206</v>
      </c>
      <c r="F571" s="5" t="s">
        <v>51</v>
      </c>
      <c r="G571" s="5" t="s">
        <v>52</v>
      </c>
      <c r="H571" s="5" t="n">
        <v>7</v>
      </c>
      <c r="I571" s="5" t="n">
        <v>7</v>
      </c>
      <c r="J571" s="5" t="n">
        <v>7</v>
      </c>
      <c r="K571" s="5" t="n">
        <v>7</v>
      </c>
      <c r="L571" s="5" t="n">
        <f aca="false">J571-K571</f>
        <v>0</v>
      </c>
      <c r="M571" s="11" t="n">
        <f aca="false">IF(J571=0,0,K571/J571)</f>
        <v>1</v>
      </c>
    </row>
    <row r="572" customFormat="false" ht="15" hidden="false" customHeight="false" outlineLevel="0" collapsed="false">
      <c r="A572" s="5" t="s">
        <v>1049</v>
      </c>
      <c r="B572" s="5" t="s">
        <v>54</v>
      </c>
      <c r="C572" s="5" t="s">
        <v>48</v>
      </c>
      <c r="D572" s="5" t="s">
        <v>206</v>
      </c>
      <c r="E572" s="5" t="s">
        <v>56</v>
      </c>
      <c r="F572" s="5" t="s">
        <v>57</v>
      </c>
      <c r="G572" s="5" t="s">
        <v>58</v>
      </c>
      <c r="H572" s="5" t="n">
        <v>0</v>
      </c>
      <c r="I572" s="5" t="n">
        <v>0</v>
      </c>
      <c r="J572" s="5" t="n">
        <v>25</v>
      </c>
      <c r="K572" s="5" t="n">
        <v>22</v>
      </c>
      <c r="L572" s="5" t="n">
        <f aca="false">J572-K572</f>
        <v>3</v>
      </c>
      <c r="M572" s="11" t="n">
        <f aca="false">IF(J572=0,0,K572/J572)</f>
        <v>0.88</v>
      </c>
    </row>
    <row r="573" customFormat="false" ht="15" hidden="false" customHeight="false" outlineLevel="0" collapsed="false">
      <c r="A573" s="5" t="s">
        <v>1050</v>
      </c>
      <c r="B573" s="5" t="s">
        <v>475</v>
      </c>
      <c r="C573" s="5" t="s">
        <v>48</v>
      </c>
      <c r="D573" s="5" t="s">
        <v>393</v>
      </c>
      <c r="E573" s="5" t="s">
        <v>56</v>
      </c>
      <c r="F573" s="5" t="s">
        <v>51</v>
      </c>
      <c r="G573" s="5" t="s">
        <v>52</v>
      </c>
      <c r="H573" s="5" t="n">
        <v>7</v>
      </c>
      <c r="I573" s="5" t="n">
        <v>7</v>
      </c>
      <c r="J573" s="5" t="n">
        <v>7</v>
      </c>
      <c r="K573" s="5" t="n">
        <v>7</v>
      </c>
      <c r="L573" s="5" t="n">
        <f aca="false">J573-K573</f>
        <v>0</v>
      </c>
      <c r="M573" s="11" t="n">
        <f aca="false">IF(J573=0,0,K573/J573)</f>
        <v>1</v>
      </c>
    </row>
    <row r="574" customFormat="false" ht="15" hidden="false" customHeight="false" outlineLevel="0" collapsed="false">
      <c r="A574" s="5" t="s">
        <v>1051</v>
      </c>
      <c r="B574" s="5" t="s">
        <v>54</v>
      </c>
      <c r="C574" s="5" t="s">
        <v>48</v>
      </c>
      <c r="D574" s="5" t="s">
        <v>100</v>
      </c>
      <c r="E574" s="5" t="s">
        <v>446</v>
      </c>
      <c r="F574" s="5" t="s">
        <v>294</v>
      </c>
      <c r="G574" s="5" t="s">
        <v>295</v>
      </c>
      <c r="H574" s="5" t="n">
        <v>0</v>
      </c>
      <c r="I574" s="5" t="n">
        <v>0</v>
      </c>
      <c r="J574" s="5" t="n">
        <v>5</v>
      </c>
      <c r="K574" s="5" t="n">
        <v>5</v>
      </c>
      <c r="L574" s="5" t="n">
        <f aca="false">J574-K574</f>
        <v>0</v>
      </c>
      <c r="M574" s="11" t="n">
        <f aca="false">IF(J574=0,0,K574/J574)</f>
        <v>1</v>
      </c>
    </row>
    <row r="575" customFormat="false" ht="15" hidden="false" customHeight="false" outlineLevel="0" collapsed="false">
      <c r="A575" s="5" t="s">
        <v>1052</v>
      </c>
      <c r="B575" s="5" t="s">
        <v>475</v>
      </c>
      <c r="C575" s="5" t="s">
        <v>48</v>
      </c>
      <c r="D575" s="5" t="s">
        <v>449</v>
      </c>
      <c r="E575" s="5" t="s">
        <v>56</v>
      </c>
      <c r="F575" s="5" t="s">
        <v>51</v>
      </c>
      <c r="G575" s="5" t="s">
        <v>52</v>
      </c>
      <c r="H575" s="5" t="n">
        <v>7</v>
      </c>
      <c r="I575" s="5" t="n">
        <v>7</v>
      </c>
      <c r="J575" s="5" t="n">
        <v>7</v>
      </c>
      <c r="K575" s="5" t="n">
        <v>7</v>
      </c>
      <c r="L575" s="5" t="n">
        <f aca="false">J575-K575</f>
        <v>0</v>
      </c>
      <c r="M575" s="11" t="n">
        <f aca="false">IF(J575=0,0,K575/J575)</f>
        <v>1</v>
      </c>
    </row>
    <row r="576" customFormat="false" ht="15" hidden="false" customHeight="false" outlineLevel="0" collapsed="false">
      <c r="A576" s="5" t="s">
        <v>1053</v>
      </c>
      <c r="B576" s="5" t="s">
        <v>475</v>
      </c>
      <c r="C576" s="5" t="s">
        <v>48</v>
      </c>
      <c r="D576" s="5" t="s">
        <v>193</v>
      </c>
      <c r="E576" s="5" t="s">
        <v>56</v>
      </c>
      <c r="F576" s="5" t="s">
        <v>51</v>
      </c>
      <c r="G576" s="5" t="s">
        <v>52</v>
      </c>
      <c r="H576" s="5" t="n">
        <v>8</v>
      </c>
      <c r="I576" s="5" t="n">
        <v>8</v>
      </c>
      <c r="J576" s="5" t="n">
        <v>7</v>
      </c>
      <c r="K576" s="5" t="n">
        <v>7</v>
      </c>
      <c r="L576" s="5" t="n">
        <f aca="false">J576-K576</f>
        <v>0</v>
      </c>
      <c r="M576" s="11" t="n">
        <f aca="false">IF(J576=0,0,K576/J576)</f>
        <v>1</v>
      </c>
    </row>
    <row r="577" customFormat="false" ht="15" hidden="false" customHeight="false" outlineLevel="0" collapsed="false">
      <c r="A577" s="5" t="s">
        <v>1054</v>
      </c>
      <c r="B577" s="5" t="s">
        <v>475</v>
      </c>
      <c r="C577" s="5" t="s">
        <v>48</v>
      </c>
      <c r="D577" s="5" t="s">
        <v>485</v>
      </c>
      <c r="E577" s="5" t="s">
        <v>193</v>
      </c>
      <c r="F577" s="5" t="s">
        <v>51</v>
      </c>
      <c r="G577" s="5" t="s">
        <v>52</v>
      </c>
      <c r="H577" s="5" t="n">
        <v>6</v>
      </c>
      <c r="I577" s="5" t="n">
        <v>6</v>
      </c>
      <c r="J577" s="5" t="n">
        <v>7</v>
      </c>
      <c r="K577" s="5" t="n">
        <v>7</v>
      </c>
      <c r="L577" s="5" t="n">
        <f aca="false">J577-K577</f>
        <v>0</v>
      </c>
      <c r="M577" s="11" t="n">
        <f aca="false">IF(J577=0,0,K577/J577)</f>
        <v>1</v>
      </c>
    </row>
    <row r="578" customFormat="false" ht="15" hidden="false" customHeight="false" outlineLevel="0" collapsed="false">
      <c r="A578" s="5" t="s">
        <v>1055</v>
      </c>
      <c r="B578" s="5" t="s">
        <v>54</v>
      </c>
      <c r="C578" s="5" t="s">
        <v>48</v>
      </c>
      <c r="D578" s="5" t="s">
        <v>288</v>
      </c>
      <c r="E578" s="5" t="s">
        <v>452</v>
      </c>
      <c r="F578" s="5" t="s">
        <v>57</v>
      </c>
      <c r="G578" s="5" t="s">
        <v>58</v>
      </c>
      <c r="H578" s="5" t="n">
        <v>0</v>
      </c>
      <c r="I578" s="5" t="n">
        <v>0</v>
      </c>
      <c r="J578" s="5" t="n">
        <v>30</v>
      </c>
      <c r="K578" s="5" t="n">
        <v>30</v>
      </c>
      <c r="L578" s="5" t="n">
        <f aca="false">J578-K578</f>
        <v>0</v>
      </c>
      <c r="M578" s="11" t="n">
        <f aca="false">IF(J578=0,0,K578/J578)</f>
        <v>1</v>
      </c>
    </row>
    <row r="579" customFormat="false" ht="15" hidden="false" customHeight="false" outlineLevel="0" collapsed="false">
      <c r="A579" s="5" t="s">
        <v>1056</v>
      </c>
      <c r="B579" s="5" t="s">
        <v>475</v>
      </c>
      <c r="C579" s="5" t="s">
        <v>48</v>
      </c>
      <c r="D579" s="5" t="s">
        <v>84</v>
      </c>
      <c r="E579" s="5" t="s">
        <v>87</v>
      </c>
      <c r="F579" s="5" t="s">
        <v>51</v>
      </c>
      <c r="G579" s="5" t="s">
        <v>52</v>
      </c>
      <c r="H579" s="5" t="n">
        <v>8</v>
      </c>
      <c r="I579" s="5" t="n">
        <v>8</v>
      </c>
      <c r="J579" s="5" t="n">
        <v>7</v>
      </c>
      <c r="K579" s="5" t="n">
        <v>7</v>
      </c>
      <c r="L579" s="5" t="n">
        <f aca="false">J579-K579</f>
        <v>0</v>
      </c>
      <c r="M579" s="11" t="n">
        <f aca="false">IF(J579=0,0,K579/J579)</f>
        <v>1</v>
      </c>
    </row>
    <row r="580" customFormat="false" ht="15" hidden="false" customHeight="false" outlineLevel="0" collapsed="false">
      <c r="A580" s="5" t="s">
        <v>1057</v>
      </c>
      <c r="B580" s="5" t="s">
        <v>475</v>
      </c>
      <c r="C580" s="5" t="s">
        <v>48</v>
      </c>
      <c r="D580" s="5" t="s">
        <v>82</v>
      </c>
      <c r="E580" s="5" t="s">
        <v>206</v>
      </c>
      <c r="F580" s="5" t="s">
        <v>51</v>
      </c>
      <c r="G580" s="5" t="s">
        <v>52</v>
      </c>
      <c r="H580" s="5" t="n">
        <v>8</v>
      </c>
      <c r="I580" s="5" t="n">
        <v>8</v>
      </c>
      <c r="J580" s="5" t="n">
        <v>7</v>
      </c>
      <c r="K580" s="5" t="n">
        <v>7</v>
      </c>
      <c r="L580" s="5" t="n">
        <f aca="false">J580-K580</f>
        <v>0</v>
      </c>
      <c r="M580" s="11" t="n">
        <f aca="false">IF(J580=0,0,K580/J580)</f>
        <v>1</v>
      </c>
    </row>
    <row r="581" customFormat="false" ht="15" hidden="false" customHeight="false" outlineLevel="0" collapsed="false">
      <c r="A581" s="5" t="s">
        <v>1058</v>
      </c>
      <c r="B581" s="5" t="s">
        <v>475</v>
      </c>
      <c r="C581" s="5" t="s">
        <v>48</v>
      </c>
      <c r="D581" s="5" t="s">
        <v>485</v>
      </c>
      <c r="E581" s="5" t="s">
        <v>56</v>
      </c>
      <c r="F581" s="5" t="s">
        <v>51</v>
      </c>
      <c r="G581" s="5" t="s">
        <v>52</v>
      </c>
      <c r="H581" s="5" t="n">
        <v>8</v>
      </c>
      <c r="I581" s="5" t="n">
        <v>8</v>
      </c>
      <c r="J581" s="5" t="n">
        <v>7</v>
      </c>
      <c r="K581" s="5" t="n">
        <v>7</v>
      </c>
      <c r="L581" s="5" t="n">
        <f aca="false">J581-K581</f>
        <v>0</v>
      </c>
      <c r="M581" s="11" t="n">
        <f aca="false">IF(J581=0,0,K581/J581)</f>
        <v>1</v>
      </c>
    </row>
    <row r="582" customFormat="false" ht="15" hidden="false" customHeight="false" outlineLevel="0" collapsed="false">
      <c r="A582" s="5" t="s">
        <v>1059</v>
      </c>
      <c r="B582" s="5" t="s">
        <v>54</v>
      </c>
      <c r="C582" s="5" t="s">
        <v>48</v>
      </c>
      <c r="D582" s="5" t="s">
        <v>465</v>
      </c>
      <c r="E582" s="5" t="s">
        <v>85</v>
      </c>
      <c r="F582" s="5" t="s">
        <v>57</v>
      </c>
      <c r="G582" s="5" t="s">
        <v>58</v>
      </c>
      <c r="H582" s="5" t="n">
        <v>0</v>
      </c>
      <c r="I582" s="5" t="n">
        <v>0</v>
      </c>
      <c r="J582" s="5" t="n">
        <v>22</v>
      </c>
      <c r="K582" s="5" t="n">
        <v>21</v>
      </c>
      <c r="L582" s="5" t="n">
        <f aca="false">J582-K582</f>
        <v>1</v>
      </c>
      <c r="M582" s="11" t="n">
        <f aca="false">IF(J582=0,0,K582/J582)</f>
        <v>0.954545454545455</v>
      </c>
    </row>
    <row r="583" customFormat="false" ht="15" hidden="false" customHeight="false" outlineLevel="0" collapsed="false">
      <c r="A583" s="5" t="s">
        <v>1060</v>
      </c>
      <c r="B583" s="5" t="s">
        <v>475</v>
      </c>
      <c r="C583" s="5" t="s">
        <v>48</v>
      </c>
      <c r="D583" s="5" t="s">
        <v>206</v>
      </c>
      <c r="E583" s="5" t="s">
        <v>374</v>
      </c>
      <c r="F583" s="5" t="s">
        <v>51</v>
      </c>
      <c r="G583" s="5" t="s">
        <v>52</v>
      </c>
      <c r="H583" s="5" t="n">
        <v>6</v>
      </c>
      <c r="I583" s="5" t="n">
        <v>6</v>
      </c>
      <c r="J583" s="5" t="n">
        <v>7</v>
      </c>
      <c r="K583" s="5" t="n">
        <v>7</v>
      </c>
      <c r="L583" s="5" t="n">
        <f aca="false">J583-K583</f>
        <v>0</v>
      </c>
      <c r="M583" s="11" t="n">
        <f aca="false">IF(J583=0,0,K583/J583)</f>
        <v>1</v>
      </c>
    </row>
    <row r="584" customFormat="false" ht="15" hidden="false" customHeight="false" outlineLevel="0" collapsed="false">
      <c r="A584" s="5" t="s">
        <v>1061</v>
      </c>
      <c r="B584" s="5" t="s">
        <v>54</v>
      </c>
      <c r="C584" s="5" t="s">
        <v>48</v>
      </c>
      <c r="D584" s="5" t="s">
        <v>206</v>
      </c>
      <c r="E584" s="5" t="s">
        <v>56</v>
      </c>
      <c r="F584" s="5" t="s">
        <v>57</v>
      </c>
      <c r="G584" s="5" t="s">
        <v>58</v>
      </c>
      <c r="H584" s="5" t="n">
        <v>0</v>
      </c>
      <c r="I584" s="5" t="n">
        <v>0</v>
      </c>
      <c r="J584" s="5" t="n">
        <v>20</v>
      </c>
      <c r="K584" s="5" t="n">
        <v>19</v>
      </c>
      <c r="L584" s="5" t="n">
        <f aca="false">J584-K584</f>
        <v>1</v>
      </c>
      <c r="M584" s="11" t="n">
        <f aca="false">IF(J584=0,0,K584/J584)</f>
        <v>0.95</v>
      </c>
    </row>
    <row r="585" customFormat="false" ht="15" hidden="false" customHeight="false" outlineLevel="0" collapsed="false">
      <c r="A585" s="5" t="s">
        <v>1062</v>
      </c>
      <c r="B585" s="5" t="s">
        <v>54</v>
      </c>
      <c r="C585" s="5" t="s">
        <v>48</v>
      </c>
      <c r="D585" s="5" t="s">
        <v>220</v>
      </c>
      <c r="E585" s="5" t="s">
        <v>56</v>
      </c>
      <c r="F585" s="5" t="s">
        <v>294</v>
      </c>
      <c r="G585" s="5" t="s">
        <v>295</v>
      </c>
      <c r="H585" s="5" t="n">
        <v>0</v>
      </c>
      <c r="I585" s="5" t="n">
        <v>0</v>
      </c>
      <c r="J585" s="5" t="n">
        <v>9</v>
      </c>
      <c r="K585" s="5" t="n">
        <v>9</v>
      </c>
      <c r="L585" s="5" t="n">
        <f aca="false">J585-K585</f>
        <v>0</v>
      </c>
      <c r="M585" s="11" t="n">
        <f aca="false">IF(J585=0,0,K585/J585)</f>
        <v>1</v>
      </c>
    </row>
    <row r="586" customFormat="false" ht="15" hidden="false" customHeight="false" outlineLevel="0" collapsed="false">
      <c r="A586" s="5" t="s">
        <v>1063</v>
      </c>
      <c r="B586" s="5" t="s">
        <v>475</v>
      </c>
      <c r="C586" s="5" t="s">
        <v>48</v>
      </c>
      <c r="D586" s="5" t="s">
        <v>485</v>
      </c>
      <c r="E586" s="5" t="s">
        <v>56</v>
      </c>
      <c r="F586" s="5" t="s">
        <v>51</v>
      </c>
      <c r="G586" s="5" t="s">
        <v>52</v>
      </c>
      <c r="H586" s="5" t="n">
        <v>8</v>
      </c>
      <c r="I586" s="5" t="n">
        <v>8</v>
      </c>
      <c r="J586" s="5" t="n">
        <v>7</v>
      </c>
      <c r="K586" s="5" t="n">
        <v>7</v>
      </c>
      <c r="L586" s="5" t="n">
        <f aca="false">J586-K586</f>
        <v>0</v>
      </c>
      <c r="M586" s="11" t="n">
        <f aca="false">IF(J586=0,0,K586/J586)</f>
        <v>1</v>
      </c>
    </row>
    <row r="587" customFormat="false" ht="15" hidden="false" customHeight="false" outlineLevel="0" collapsed="false">
      <c r="A587" s="5" t="s">
        <v>1064</v>
      </c>
      <c r="B587" s="5" t="s">
        <v>54</v>
      </c>
      <c r="C587" s="5" t="s">
        <v>48</v>
      </c>
      <c r="D587" s="5" t="s">
        <v>469</v>
      </c>
      <c r="E587" s="5" t="s">
        <v>85</v>
      </c>
      <c r="F587" s="5" t="s">
        <v>57</v>
      </c>
      <c r="G587" s="5" t="s">
        <v>58</v>
      </c>
      <c r="H587" s="5" t="n">
        <v>0</v>
      </c>
      <c r="I587" s="5" t="n">
        <v>0</v>
      </c>
      <c r="J587" s="5" t="n">
        <v>16</v>
      </c>
      <c r="K587" s="5" t="n">
        <v>13</v>
      </c>
      <c r="L587" s="5" t="n">
        <f aca="false">J587-K587</f>
        <v>3</v>
      </c>
      <c r="M587" s="11" t="n">
        <f aca="false">IF(J587=0,0,K587/J587)</f>
        <v>0.8125</v>
      </c>
    </row>
    <row r="588" customFormat="false" ht="15" hidden="false" customHeight="false" outlineLevel="0" collapsed="false">
      <c r="A588" s="5" t="s">
        <v>1065</v>
      </c>
      <c r="B588" s="5" t="s">
        <v>475</v>
      </c>
      <c r="C588" s="5" t="s">
        <v>48</v>
      </c>
      <c r="D588" s="5" t="s">
        <v>449</v>
      </c>
      <c r="E588" s="5" t="s">
        <v>206</v>
      </c>
      <c r="F588" s="5" t="s">
        <v>51</v>
      </c>
      <c r="G588" s="5" t="s">
        <v>52</v>
      </c>
      <c r="H588" s="5" t="n">
        <v>8</v>
      </c>
      <c r="I588" s="5" t="n">
        <v>8</v>
      </c>
      <c r="J588" s="5" t="n">
        <v>6</v>
      </c>
      <c r="K588" s="5" t="n">
        <v>6</v>
      </c>
      <c r="L588" s="5" t="n">
        <f aca="false">J588-K588</f>
        <v>0</v>
      </c>
      <c r="M588" s="11" t="n">
        <f aca="false">IF(J588=0,0,K588/J588)</f>
        <v>1</v>
      </c>
    </row>
    <row r="589" customFormat="false" ht="15" hidden="false" customHeight="false" outlineLevel="0" collapsed="false">
      <c r="A589" s="5" t="s">
        <v>1066</v>
      </c>
      <c r="B589" s="5" t="s">
        <v>60</v>
      </c>
      <c r="C589" s="5" t="s">
        <v>48</v>
      </c>
      <c r="D589" s="5" t="s">
        <v>1067</v>
      </c>
      <c r="E589" s="5" t="s">
        <v>1068</v>
      </c>
      <c r="F589" s="5" t="s">
        <v>57</v>
      </c>
      <c r="G589" s="5" t="s">
        <v>58</v>
      </c>
      <c r="H589" s="5" t="n">
        <v>0</v>
      </c>
      <c r="I589" s="5" t="n">
        <v>0</v>
      </c>
      <c r="J589" s="5" t="n">
        <v>29</v>
      </c>
      <c r="K589" s="5" t="n">
        <v>11</v>
      </c>
      <c r="L589" s="5" t="n">
        <f aca="false">J589-K589</f>
        <v>18</v>
      </c>
      <c r="M589" s="11" t="n">
        <f aca="false">IF(J589=0,0,K589/J589)</f>
        <v>0.379310344827586</v>
      </c>
    </row>
    <row r="590" customFormat="false" ht="15" hidden="false" customHeight="false" outlineLevel="0" collapsed="false">
      <c r="A590" s="5" t="s">
        <v>1069</v>
      </c>
      <c r="B590" s="5" t="s">
        <v>60</v>
      </c>
      <c r="C590" s="5" t="s">
        <v>48</v>
      </c>
      <c r="D590" s="5" t="s">
        <v>1067</v>
      </c>
      <c r="E590" s="5" t="s">
        <v>1070</v>
      </c>
      <c r="F590" s="5" t="s">
        <v>57</v>
      </c>
      <c r="G590" s="5" t="s">
        <v>58</v>
      </c>
      <c r="H590" s="5" t="n">
        <v>0</v>
      </c>
      <c r="I590" s="5" t="n">
        <v>0</v>
      </c>
      <c r="J590" s="5" t="n">
        <v>39</v>
      </c>
      <c r="K590" s="5" t="n">
        <v>11</v>
      </c>
      <c r="L590" s="5" t="n">
        <f aca="false">J590-K590</f>
        <v>28</v>
      </c>
      <c r="M590" s="11" t="n">
        <f aca="false">IF(J590=0,0,K590/J590)</f>
        <v>0.282051282051282</v>
      </c>
    </row>
    <row r="591" customFormat="false" ht="15" hidden="false" customHeight="false" outlineLevel="0" collapsed="false">
      <c r="A591" s="5" t="s">
        <v>1071</v>
      </c>
      <c r="B591" s="5" t="s">
        <v>60</v>
      </c>
      <c r="C591" s="5" t="s">
        <v>48</v>
      </c>
      <c r="D591" s="5" t="s">
        <v>1072</v>
      </c>
      <c r="E591" s="5" t="s">
        <v>1027</v>
      </c>
      <c r="F591" s="5" t="s">
        <v>57</v>
      </c>
      <c r="G591" s="5" t="s">
        <v>58</v>
      </c>
      <c r="H591" s="5" t="n">
        <v>0</v>
      </c>
      <c r="I591" s="5" t="n">
        <v>0</v>
      </c>
      <c r="J591" s="5" t="n">
        <v>19</v>
      </c>
      <c r="K591" s="5" t="n">
        <v>16</v>
      </c>
      <c r="L591" s="5" t="n">
        <f aca="false">J591-K591</f>
        <v>3</v>
      </c>
      <c r="M591" s="11" t="n">
        <f aca="false">IF(J591=0,0,K591/J591)</f>
        <v>0.842105263157895</v>
      </c>
    </row>
    <row r="592" customFormat="false" ht="15" hidden="false" customHeight="false" outlineLevel="0" collapsed="false">
      <c r="A592" s="5" t="s">
        <v>1073</v>
      </c>
      <c r="B592" s="5" t="s">
        <v>60</v>
      </c>
      <c r="C592" s="5" t="s">
        <v>48</v>
      </c>
      <c r="D592" s="5" t="s">
        <v>1074</v>
      </c>
      <c r="E592" s="5" t="s">
        <v>50</v>
      </c>
      <c r="F592" s="5" t="s">
        <v>57</v>
      </c>
      <c r="G592" s="5" t="s">
        <v>58</v>
      </c>
      <c r="H592" s="5" t="n">
        <v>0</v>
      </c>
      <c r="I592" s="5" t="n">
        <v>0</v>
      </c>
      <c r="J592" s="5" t="n">
        <v>27</v>
      </c>
      <c r="K592" s="5" t="n">
        <v>26</v>
      </c>
      <c r="L592" s="5" t="n">
        <f aca="false">J592-K592</f>
        <v>1</v>
      </c>
      <c r="M592" s="11" t="n">
        <f aca="false">IF(J592=0,0,K592/J592)</f>
        <v>0.962962962962963</v>
      </c>
    </row>
    <row r="593" customFormat="false" ht="15" hidden="false" customHeight="false" outlineLevel="0" collapsed="false">
      <c r="A593" s="5" t="s">
        <v>1075</v>
      </c>
      <c r="B593" s="5" t="s">
        <v>60</v>
      </c>
      <c r="C593" s="5" t="s">
        <v>48</v>
      </c>
      <c r="D593" s="5" t="s">
        <v>779</v>
      </c>
      <c r="E593" s="5" t="s">
        <v>64</v>
      </c>
      <c r="F593" s="5" t="s">
        <v>57</v>
      </c>
      <c r="G593" s="5" t="s">
        <v>58</v>
      </c>
      <c r="H593" s="5" t="n">
        <v>0</v>
      </c>
      <c r="I593" s="5" t="n">
        <v>0</v>
      </c>
      <c r="J593" s="5" t="n">
        <v>27</v>
      </c>
      <c r="K593" s="5" t="n">
        <v>21</v>
      </c>
      <c r="L593" s="5" t="n">
        <f aca="false">J593-K593</f>
        <v>6</v>
      </c>
      <c r="M593" s="11" t="n">
        <f aca="false">IF(J593=0,0,K593/J593)</f>
        <v>0.777777777777778</v>
      </c>
    </row>
    <row r="594" customFormat="false" ht="15" hidden="false" customHeight="false" outlineLevel="0" collapsed="false">
      <c r="A594" s="5" t="s">
        <v>1076</v>
      </c>
      <c r="B594" s="5" t="s">
        <v>60</v>
      </c>
      <c r="C594" s="5" t="s">
        <v>48</v>
      </c>
      <c r="D594" s="5" t="s">
        <v>64</v>
      </c>
      <c r="E594" s="5" t="s">
        <v>1068</v>
      </c>
      <c r="F594" s="5" t="s">
        <v>57</v>
      </c>
      <c r="G594" s="5" t="s">
        <v>58</v>
      </c>
      <c r="H594" s="5" t="n">
        <v>0</v>
      </c>
      <c r="I594" s="5" t="n">
        <v>0</v>
      </c>
      <c r="J594" s="5" t="n">
        <v>47</v>
      </c>
      <c r="K594" s="5" t="n">
        <v>29</v>
      </c>
      <c r="L594" s="5" t="n">
        <f aca="false">J594-K594</f>
        <v>18</v>
      </c>
      <c r="M594" s="11" t="n">
        <f aca="false">IF(J594=0,0,K594/J594)</f>
        <v>0.617021276595745</v>
      </c>
    </row>
    <row r="595" customFormat="false" ht="15" hidden="false" customHeight="false" outlineLevel="0" collapsed="false">
      <c r="A595" s="5" t="s">
        <v>1077</v>
      </c>
      <c r="B595" s="5" t="s">
        <v>60</v>
      </c>
      <c r="C595" s="5" t="s">
        <v>48</v>
      </c>
      <c r="D595" s="5" t="s">
        <v>1078</v>
      </c>
      <c r="E595" s="5" t="s">
        <v>64</v>
      </c>
      <c r="F595" s="5" t="s">
        <v>57</v>
      </c>
      <c r="G595" s="5" t="s">
        <v>58</v>
      </c>
      <c r="H595" s="5" t="n">
        <v>0</v>
      </c>
      <c r="I595" s="5" t="n">
        <v>0</v>
      </c>
      <c r="J595" s="5" t="n">
        <v>23</v>
      </c>
      <c r="K595" s="5" t="n">
        <v>21</v>
      </c>
      <c r="L595" s="5" t="n">
        <f aca="false">J595-K595</f>
        <v>2</v>
      </c>
      <c r="M595" s="11" t="n">
        <f aca="false">IF(J595=0,0,K595/J595)</f>
        <v>0.91304347826087</v>
      </c>
    </row>
    <row r="596" customFormat="false" ht="15" hidden="false" customHeight="false" outlineLevel="0" collapsed="false">
      <c r="A596" s="5" t="s">
        <v>1079</v>
      </c>
      <c r="B596" s="5" t="s">
        <v>60</v>
      </c>
      <c r="C596" s="5" t="s">
        <v>48</v>
      </c>
      <c r="D596" s="5" t="s">
        <v>197</v>
      </c>
      <c r="E596" s="5" t="s">
        <v>1080</v>
      </c>
      <c r="F596" s="5" t="s">
        <v>57</v>
      </c>
      <c r="G596" s="5" t="s">
        <v>58</v>
      </c>
      <c r="H596" s="5" t="n">
        <v>0</v>
      </c>
      <c r="I596" s="5" t="n">
        <v>0</v>
      </c>
      <c r="J596" s="5" t="n">
        <v>45</v>
      </c>
      <c r="K596" s="5" t="n">
        <v>32</v>
      </c>
      <c r="L596" s="5" t="n">
        <f aca="false">J596-K596</f>
        <v>13</v>
      </c>
      <c r="M596" s="11" t="n">
        <f aca="false">IF(J596=0,0,K596/J596)</f>
        <v>0.711111111111111</v>
      </c>
    </row>
    <row r="597" customFormat="false" ht="15" hidden="false" customHeight="false" outlineLevel="0" collapsed="false">
      <c r="A597" s="5" t="s">
        <v>1081</v>
      </c>
      <c r="B597" s="5" t="s">
        <v>60</v>
      </c>
      <c r="C597" s="5" t="s">
        <v>48</v>
      </c>
      <c r="D597" s="5" t="s">
        <v>788</v>
      </c>
      <c r="E597" s="5" t="s">
        <v>130</v>
      </c>
      <c r="F597" s="5" t="s">
        <v>57</v>
      </c>
      <c r="G597" s="5" t="s">
        <v>58</v>
      </c>
      <c r="H597" s="5" t="n">
        <v>0</v>
      </c>
      <c r="I597" s="5" t="n">
        <v>0</v>
      </c>
      <c r="J597" s="5" t="n">
        <v>25</v>
      </c>
      <c r="K597" s="5" t="n">
        <v>18</v>
      </c>
      <c r="L597" s="5" t="n">
        <f aca="false">J597-K597</f>
        <v>7</v>
      </c>
      <c r="M597" s="11" t="n">
        <f aca="false">IF(J597=0,0,K597/J597)</f>
        <v>0.72</v>
      </c>
    </row>
    <row r="598" customFormat="false" ht="15" hidden="false" customHeight="false" outlineLevel="0" collapsed="false">
      <c r="A598" s="5" t="s">
        <v>1082</v>
      </c>
      <c r="B598" s="5" t="s">
        <v>60</v>
      </c>
      <c r="C598" s="5" t="s">
        <v>48</v>
      </c>
      <c r="D598" s="5" t="s">
        <v>1083</v>
      </c>
      <c r="E598" s="5" t="s">
        <v>67</v>
      </c>
      <c r="F598" s="5" t="s">
        <v>57</v>
      </c>
      <c r="G598" s="5" t="s">
        <v>58</v>
      </c>
      <c r="H598" s="5" t="n">
        <v>0</v>
      </c>
      <c r="I598" s="5" t="n">
        <v>0</v>
      </c>
      <c r="J598" s="5" t="n">
        <v>23</v>
      </c>
      <c r="K598" s="5" t="n">
        <v>16</v>
      </c>
      <c r="L598" s="5" t="n">
        <f aca="false">J598-K598</f>
        <v>7</v>
      </c>
      <c r="M598" s="11" t="n">
        <f aca="false">IF(J598=0,0,K598/J598)</f>
        <v>0.695652173913044</v>
      </c>
    </row>
    <row r="599" customFormat="false" ht="15" hidden="false" customHeight="false" outlineLevel="0" collapsed="false">
      <c r="A599" s="5" t="s">
        <v>1084</v>
      </c>
      <c r="B599" s="5" t="s">
        <v>60</v>
      </c>
      <c r="C599" s="5" t="s">
        <v>48</v>
      </c>
      <c r="D599" s="5" t="s">
        <v>205</v>
      </c>
      <c r="E599" s="5" t="s">
        <v>173</v>
      </c>
      <c r="F599" s="5" t="s">
        <v>57</v>
      </c>
      <c r="G599" s="5" t="s">
        <v>58</v>
      </c>
      <c r="H599" s="5" t="n">
        <v>0</v>
      </c>
      <c r="I599" s="5" t="n">
        <v>0</v>
      </c>
      <c r="J599" s="5" t="n">
        <v>11</v>
      </c>
      <c r="K599" s="5" t="n">
        <v>7</v>
      </c>
      <c r="L599" s="5" t="n">
        <f aca="false">J599-K599</f>
        <v>4</v>
      </c>
      <c r="M599" s="11" t="n">
        <f aca="false">IF(J599=0,0,K599/J599)</f>
        <v>0.636363636363636</v>
      </c>
    </row>
    <row r="600" customFormat="false" ht="15" hidden="false" customHeight="false" outlineLevel="0" collapsed="false">
      <c r="A600" s="5" t="s">
        <v>1085</v>
      </c>
      <c r="B600" s="5" t="s">
        <v>60</v>
      </c>
      <c r="C600" s="5" t="s">
        <v>48</v>
      </c>
      <c r="D600" s="5" t="s">
        <v>771</v>
      </c>
      <c r="E600" s="5" t="s">
        <v>153</v>
      </c>
      <c r="F600" s="5" t="s">
        <v>57</v>
      </c>
      <c r="G600" s="5" t="s">
        <v>58</v>
      </c>
      <c r="H600" s="5" t="n">
        <v>0</v>
      </c>
      <c r="I600" s="5" t="n">
        <v>0</v>
      </c>
      <c r="J600" s="5" t="n">
        <v>23</v>
      </c>
      <c r="K600" s="5" t="n">
        <v>15</v>
      </c>
      <c r="L600" s="5" t="n">
        <f aca="false">J600-K600</f>
        <v>8</v>
      </c>
      <c r="M600" s="11" t="n">
        <f aca="false">IF(J600=0,0,K600/J600)</f>
        <v>0.652173913043478</v>
      </c>
    </row>
    <row r="601" customFormat="false" ht="15" hidden="false" customHeight="false" outlineLevel="0" collapsed="false">
      <c r="A601" s="5" t="s">
        <v>1086</v>
      </c>
      <c r="B601" s="5" t="s">
        <v>60</v>
      </c>
      <c r="C601" s="5" t="s">
        <v>48</v>
      </c>
      <c r="D601" s="5" t="s">
        <v>1072</v>
      </c>
      <c r="E601" s="5" t="s">
        <v>1027</v>
      </c>
      <c r="F601" s="5" t="s">
        <v>57</v>
      </c>
      <c r="G601" s="5" t="s">
        <v>58</v>
      </c>
      <c r="H601" s="5" t="n">
        <v>0</v>
      </c>
      <c r="I601" s="5" t="n">
        <v>0</v>
      </c>
      <c r="J601" s="5" t="n">
        <v>20</v>
      </c>
      <c r="K601" s="5" t="n">
        <v>10</v>
      </c>
      <c r="L601" s="5" t="n">
        <f aca="false">J601-K601</f>
        <v>10</v>
      </c>
      <c r="M601" s="11" t="n">
        <f aca="false">IF(J601=0,0,K601/J601)</f>
        <v>0.5</v>
      </c>
    </row>
    <row r="602" customFormat="false" ht="15" hidden="false" customHeight="false" outlineLevel="0" collapsed="false">
      <c r="A602" s="5" t="s">
        <v>1087</v>
      </c>
      <c r="B602" s="5" t="s">
        <v>60</v>
      </c>
      <c r="C602" s="5" t="s">
        <v>48</v>
      </c>
      <c r="D602" s="5" t="s">
        <v>1088</v>
      </c>
      <c r="E602" s="5" t="s">
        <v>1089</v>
      </c>
      <c r="F602" s="5" t="s">
        <v>57</v>
      </c>
      <c r="G602" s="5" t="s">
        <v>58</v>
      </c>
      <c r="H602" s="5" t="n">
        <v>0</v>
      </c>
      <c r="I602" s="5" t="n">
        <v>0</v>
      </c>
      <c r="J602" s="5" t="n">
        <v>21</v>
      </c>
      <c r="K602" s="5" t="n">
        <v>12</v>
      </c>
      <c r="L602" s="5" t="n">
        <f aca="false">J602-K602</f>
        <v>9</v>
      </c>
      <c r="M602" s="11" t="n">
        <f aca="false">IF(J602=0,0,K602/J602)</f>
        <v>0.571428571428571</v>
      </c>
    </row>
    <row r="603" customFormat="false" ht="15" hidden="false" customHeight="false" outlineLevel="0" collapsed="false">
      <c r="A603" s="5" t="s">
        <v>1090</v>
      </c>
      <c r="B603" s="5" t="s">
        <v>60</v>
      </c>
      <c r="C603" s="5" t="s">
        <v>48</v>
      </c>
      <c r="D603" s="5" t="s">
        <v>1091</v>
      </c>
      <c r="E603" s="5" t="s">
        <v>1092</v>
      </c>
      <c r="F603" s="5" t="s">
        <v>57</v>
      </c>
      <c r="G603" s="5" t="s">
        <v>58</v>
      </c>
      <c r="H603" s="5" t="n">
        <v>0</v>
      </c>
      <c r="I603" s="5" t="n">
        <v>0</v>
      </c>
      <c r="J603" s="5" t="n">
        <v>25</v>
      </c>
      <c r="K603" s="5" t="n">
        <v>12</v>
      </c>
      <c r="L603" s="5" t="n">
        <f aca="false">J603-K603</f>
        <v>13</v>
      </c>
      <c r="M603" s="11" t="n">
        <f aca="false">IF(J603=0,0,K603/J603)</f>
        <v>0.48</v>
      </c>
    </row>
    <row r="604" customFormat="false" ht="15" hidden="false" customHeight="false" outlineLevel="0" collapsed="false">
      <c r="A604" s="5" t="s">
        <v>1093</v>
      </c>
      <c r="B604" s="5" t="s">
        <v>60</v>
      </c>
      <c r="C604" s="5" t="s">
        <v>48</v>
      </c>
      <c r="D604" s="5" t="s">
        <v>84</v>
      </c>
      <c r="E604" s="5" t="s">
        <v>1094</v>
      </c>
      <c r="F604" s="5" t="s">
        <v>57</v>
      </c>
      <c r="G604" s="5" t="s">
        <v>58</v>
      </c>
      <c r="H604" s="5" t="n">
        <v>0</v>
      </c>
      <c r="I604" s="5" t="n">
        <v>0</v>
      </c>
      <c r="J604" s="5" t="n">
        <v>19</v>
      </c>
      <c r="K604" s="5" t="n">
        <v>16</v>
      </c>
      <c r="L604" s="5" t="n">
        <f aca="false">J604-K604</f>
        <v>3</v>
      </c>
      <c r="M604" s="11" t="n">
        <f aca="false">IF(J604=0,0,K604/J604)</f>
        <v>0.842105263157895</v>
      </c>
    </row>
    <row r="605" customFormat="false" ht="15" hidden="false" customHeight="false" outlineLevel="0" collapsed="false">
      <c r="A605" s="5" t="s">
        <v>1095</v>
      </c>
      <c r="B605" s="5" t="s">
        <v>60</v>
      </c>
      <c r="C605" s="5" t="s">
        <v>48</v>
      </c>
      <c r="D605" s="5" t="s">
        <v>771</v>
      </c>
      <c r="E605" s="5" t="s">
        <v>1096</v>
      </c>
      <c r="F605" s="5" t="s">
        <v>57</v>
      </c>
      <c r="G605" s="5" t="s">
        <v>58</v>
      </c>
      <c r="H605" s="5" t="n">
        <v>0</v>
      </c>
      <c r="I605" s="5" t="n">
        <v>0</v>
      </c>
      <c r="J605" s="5" t="n">
        <v>27</v>
      </c>
      <c r="K605" s="5" t="n">
        <v>20</v>
      </c>
      <c r="L605" s="5" t="n">
        <f aca="false">J605-K605</f>
        <v>7</v>
      </c>
      <c r="M605" s="11" t="n">
        <f aca="false">IF(J605=0,0,K605/J605)</f>
        <v>0.740740740740741</v>
      </c>
    </row>
    <row r="606" customFormat="false" ht="15" hidden="false" customHeight="false" outlineLevel="0" collapsed="false">
      <c r="A606" s="5" t="s">
        <v>1097</v>
      </c>
      <c r="B606" s="5" t="s">
        <v>60</v>
      </c>
      <c r="C606" s="5" t="s">
        <v>48</v>
      </c>
      <c r="D606" s="5" t="s">
        <v>779</v>
      </c>
      <c r="E606" s="5" t="s">
        <v>1068</v>
      </c>
      <c r="F606" s="5" t="s">
        <v>57</v>
      </c>
      <c r="G606" s="5" t="s">
        <v>58</v>
      </c>
      <c r="H606" s="5" t="n">
        <v>0</v>
      </c>
      <c r="I606" s="5" t="n">
        <v>0</v>
      </c>
      <c r="J606" s="5" t="n">
        <v>21</v>
      </c>
      <c r="K606" s="5" t="n">
        <v>9</v>
      </c>
      <c r="L606" s="5" t="n">
        <f aca="false">J606-K606</f>
        <v>12</v>
      </c>
      <c r="M606" s="11" t="n">
        <f aca="false">IF(J606=0,0,K606/J606)</f>
        <v>0.428571428571429</v>
      </c>
    </row>
    <row r="607" customFormat="false" ht="15" hidden="false" customHeight="false" outlineLevel="0" collapsed="false">
      <c r="A607" s="5" t="s">
        <v>1098</v>
      </c>
      <c r="B607" s="5" t="s">
        <v>60</v>
      </c>
      <c r="C607" s="5" t="s">
        <v>48</v>
      </c>
      <c r="D607" s="5" t="s">
        <v>1099</v>
      </c>
      <c r="E607" s="5" t="s">
        <v>1100</v>
      </c>
      <c r="F607" s="5" t="s">
        <v>57</v>
      </c>
      <c r="G607" s="5" t="s">
        <v>58</v>
      </c>
      <c r="H607" s="5" t="n">
        <v>0</v>
      </c>
      <c r="I607" s="5" t="n">
        <v>0</v>
      </c>
      <c r="J607" s="5" t="n">
        <v>11</v>
      </c>
      <c r="K607" s="5" t="n">
        <v>8</v>
      </c>
      <c r="L607" s="5" t="n">
        <f aca="false">J607-K607</f>
        <v>3</v>
      </c>
      <c r="M607" s="11" t="n">
        <f aca="false">IF(J607=0,0,K607/J607)</f>
        <v>0.727272727272727</v>
      </c>
    </row>
    <row r="608" customFormat="false" ht="15" hidden="false" customHeight="false" outlineLevel="0" collapsed="false">
      <c r="A608" s="5" t="s">
        <v>1101</v>
      </c>
      <c r="B608" s="5" t="s">
        <v>60</v>
      </c>
      <c r="C608" s="5" t="s">
        <v>48</v>
      </c>
      <c r="D608" s="5" t="s">
        <v>1091</v>
      </c>
      <c r="E608" s="5" t="s">
        <v>1102</v>
      </c>
      <c r="F608" s="5" t="s">
        <v>57</v>
      </c>
      <c r="G608" s="5" t="s">
        <v>58</v>
      </c>
      <c r="H608" s="5" t="n">
        <v>0</v>
      </c>
      <c r="I608" s="5" t="n">
        <v>0</v>
      </c>
      <c r="J608" s="5" t="n">
        <v>25</v>
      </c>
      <c r="K608" s="5" t="n">
        <v>11</v>
      </c>
      <c r="L608" s="5" t="n">
        <f aca="false">J608-K608</f>
        <v>14</v>
      </c>
      <c r="M608" s="11" t="n">
        <f aca="false">IF(J608=0,0,K608/J608)</f>
        <v>0.44</v>
      </c>
    </row>
    <row r="609" customFormat="false" ht="15" hidden="false" customHeight="false" outlineLevel="0" collapsed="false">
      <c r="A609" s="5" t="s">
        <v>1103</v>
      </c>
      <c r="B609" s="5" t="s">
        <v>60</v>
      </c>
      <c r="C609" s="5" t="s">
        <v>48</v>
      </c>
      <c r="D609" s="5" t="s">
        <v>1088</v>
      </c>
      <c r="E609" s="5" t="s">
        <v>1104</v>
      </c>
      <c r="F609" s="5" t="s">
        <v>57</v>
      </c>
      <c r="G609" s="5" t="s">
        <v>58</v>
      </c>
      <c r="H609" s="5" t="n">
        <v>0</v>
      </c>
      <c r="I609" s="5" t="n">
        <v>0</v>
      </c>
      <c r="J609" s="5" t="n">
        <v>17</v>
      </c>
      <c r="K609" s="5" t="n">
        <v>13</v>
      </c>
      <c r="L609" s="5" t="n">
        <f aca="false">J609-K609</f>
        <v>4</v>
      </c>
      <c r="M609" s="11" t="n">
        <f aca="false">IF(J609=0,0,K609/J609)</f>
        <v>0.764705882352941</v>
      </c>
    </row>
    <row r="610" customFormat="false" ht="15" hidden="false" customHeight="false" outlineLevel="0" collapsed="false">
      <c r="A610" s="5" t="s">
        <v>1105</v>
      </c>
      <c r="B610" s="5" t="s">
        <v>60</v>
      </c>
      <c r="C610" s="5" t="s">
        <v>48</v>
      </c>
      <c r="D610" s="5" t="s">
        <v>1088</v>
      </c>
      <c r="E610" s="5" t="s">
        <v>1106</v>
      </c>
      <c r="F610" s="5" t="s">
        <v>57</v>
      </c>
      <c r="G610" s="5" t="s">
        <v>58</v>
      </c>
      <c r="H610" s="5" t="n">
        <v>0</v>
      </c>
      <c r="I610" s="5" t="n">
        <v>0</v>
      </c>
      <c r="J610" s="5" t="n">
        <v>11</v>
      </c>
      <c r="K610" s="5" t="n">
        <v>6</v>
      </c>
      <c r="L610" s="5" t="n">
        <f aca="false">J610-K610</f>
        <v>5</v>
      </c>
      <c r="M610" s="11" t="n">
        <f aca="false">IF(J610=0,0,K610/J610)</f>
        <v>0.545454545454545</v>
      </c>
    </row>
    <row r="611" customFormat="false" ht="15" hidden="false" customHeight="false" outlineLevel="0" collapsed="false">
      <c r="A611" s="5" t="s">
        <v>1107</v>
      </c>
      <c r="B611" s="5" t="s">
        <v>60</v>
      </c>
      <c r="C611" s="5" t="s">
        <v>48</v>
      </c>
      <c r="D611" s="5" t="s">
        <v>1108</v>
      </c>
      <c r="E611" s="5" t="s">
        <v>1109</v>
      </c>
      <c r="F611" s="5" t="s">
        <v>57</v>
      </c>
      <c r="G611" s="5" t="s">
        <v>58</v>
      </c>
      <c r="H611" s="5" t="n">
        <v>0</v>
      </c>
      <c r="I611" s="5" t="n">
        <v>0</v>
      </c>
      <c r="J611" s="5" t="n">
        <v>23</v>
      </c>
      <c r="K611" s="5" t="n">
        <v>18</v>
      </c>
      <c r="L611" s="5" t="n">
        <f aca="false">J611-K611</f>
        <v>5</v>
      </c>
      <c r="M611" s="11" t="n">
        <f aca="false">IF(J611=0,0,K611/J611)</f>
        <v>0.782608695652174</v>
      </c>
    </row>
    <row r="612" customFormat="false" ht="15" hidden="false" customHeight="false" outlineLevel="0" collapsed="false">
      <c r="A612" s="5" t="s">
        <v>1110</v>
      </c>
      <c r="B612" s="5" t="s">
        <v>60</v>
      </c>
      <c r="C612" s="5" t="s">
        <v>48</v>
      </c>
      <c r="D612" s="5" t="s">
        <v>64</v>
      </c>
      <c r="E612" s="5" t="s">
        <v>1111</v>
      </c>
      <c r="F612" s="5" t="s">
        <v>57</v>
      </c>
      <c r="G612" s="5" t="s">
        <v>58</v>
      </c>
      <c r="H612" s="5" t="n">
        <v>0</v>
      </c>
      <c r="I612" s="5" t="n">
        <v>0</v>
      </c>
      <c r="J612" s="5" t="n">
        <v>42</v>
      </c>
      <c r="K612" s="5" t="n">
        <v>29</v>
      </c>
      <c r="L612" s="5" t="n">
        <f aca="false">J612-K612</f>
        <v>13</v>
      </c>
      <c r="M612" s="11" t="n">
        <f aca="false">IF(J612=0,0,K612/J612)</f>
        <v>0.690476190476191</v>
      </c>
    </row>
    <row r="613" customFormat="false" ht="15" hidden="false" customHeight="false" outlineLevel="0" collapsed="false">
      <c r="A613" s="5" t="s">
        <v>1112</v>
      </c>
      <c r="B613" s="5" t="s">
        <v>60</v>
      </c>
      <c r="C613" s="5" t="s">
        <v>48</v>
      </c>
      <c r="D613" s="5" t="s">
        <v>1088</v>
      </c>
      <c r="E613" s="5" t="s">
        <v>357</v>
      </c>
      <c r="F613" s="5" t="s">
        <v>57</v>
      </c>
      <c r="G613" s="5" t="s">
        <v>58</v>
      </c>
      <c r="H613" s="5" t="n">
        <v>0</v>
      </c>
      <c r="I613" s="5" t="n">
        <v>0</v>
      </c>
      <c r="J613" s="5" t="n">
        <v>11</v>
      </c>
      <c r="K613" s="5" t="n">
        <v>8</v>
      </c>
      <c r="L613" s="5" t="n">
        <f aca="false">J613-K613</f>
        <v>3</v>
      </c>
      <c r="M613" s="11" t="n">
        <f aca="false">IF(J613=0,0,K613/J613)</f>
        <v>0.727272727272727</v>
      </c>
    </row>
    <row r="614" customFormat="false" ht="15" hidden="false" customHeight="false" outlineLevel="0" collapsed="false">
      <c r="A614" s="5" t="s">
        <v>1113</v>
      </c>
      <c r="B614" s="5" t="s">
        <v>60</v>
      </c>
      <c r="C614" s="5" t="s">
        <v>48</v>
      </c>
      <c r="D614" s="5" t="s">
        <v>1067</v>
      </c>
      <c r="E614" s="5" t="s">
        <v>64</v>
      </c>
      <c r="F614" s="5" t="s">
        <v>57</v>
      </c>
      <c r="G614" s="5" t="s">
        <v>58</v>
      </c>
      <c r="H614" s="5" t="n">
        <v>0</v>
      </c>
      <c r="I614" s="5" t="n">
        <v>0</v>
      </c>
      <c r="J614" s="5" t="n">
        <v>23</v>
      </c>
      <c r="K614" s="5" t="n">
        <v>19</v>
      </c>
      <c r="L614" s="5" t="n">
        <f aca="false">J614-K614</f>
        <v>4</v>
      </c>
      <c r="M614" s="11" t="n">
        <f aca="false">IF(J614=0,0,K614/J614)</f>
        <v>0.826086956521739</v>
      </c>
    </row>
    <row r="615" customFormat="false" ht="15" hidden="false" customHeight="false" outlineLevel="0" collapsed="false">
      <c r="A615" s="5" t="s">
        <v>1114</v>
      </c>
      <c r="B615" s="5" t="s">
        <v>60</v>
      </c>
      <c r="C615" s="5" t="s">
        <v>48</v>
      </c>
      <c r="D615" s="5" t="s">
        <v>1111</v>
      </c>
      <c r="E615" s="5" t="s">
        <v>723</v>
      </c>
      <c r="F615" s="5" t="s">
        <v>57</v>
      </c>
      <c r="G615" s="5" t="s">
        <v>58</v>
      </c>
      <c r="H615" s="5" t="n">
        <v>0</v>
      </c>
      <c r="I615" s="5" t="n">
        <v>0</v>
      </c>
      <c r="J615" s="5" t="n">
        <v>9</v>
      </c>
      <c r="K615" s="5" t="n">
        <v>6</v>
      </c>
      <c r="L615" s="5" t="n">
        <f aca="false">J615-K615</f>
        <v>3</v>
      </c>
      <c r="M615" s="11" t="n">
        <f aca="false">IF(J615=0,0,K615/J615)</f>
        <v>0.666666666666667</v>
      </c>
    </row>
    <row r="616" customFormat="false" ht="15" hidden="false" customHeight="false" outlineLevel="0" collapsed="false">
      <c r="A616" s="5" t="s">
        <v>1115</v>
      </c>
      <c r="B616" s="5" t="s">
        <v>1116</v>
      </c>
      <c r="C616" s="5" t="s">
        <v>48</v>
      </c>
      <c r="D616" s="5" t="s">
        <v>779</v>
      </c>
      <c r="E616" s="5" t="s">
        <v>64</v>
      </c>
      <c r="F616" s="5" t="s">
        <v>51</v>
      </c>
      <c r="G616" s="5" t="s">
        <v>52</v>
      </c>
      <c r="H616" s="5" t="n">
        <v>5</v>
      </c>
      <c r="I616" s="5" t="n">
        <v>5</v>
      </c>
      <c r="J616" s="5" t="n">
        <v>7</v>
      </c>
      <c r="K616" s="5" t="n">
        <v>7</v>
      </c>
      <c r="L616" s="5" t="n">
        <f aca="false">J616-K616</f>
        <v>0</v>
      </c>
      <c r="M616" s="11" t="n">
        <f aca="false">IF(J616=0,0,K616/J616)</f>
        <v>1</v>
      </c>
    </row>
    <row r="617" customFormat="false" ht="15" hidden="false" customHeight="false" outlineLevel="0" collapsed="false">
      <c r="A617" s="5" t="s">
        <v>1117</v>
      </c>
      <c r="B617" s="5" t="s">
        <v>60</v>
      </c>
      <c r="C617" s="5" t="s">
        <v>48</v>
      </c>
      <c r="D617" s="5" t="s">
        <v>411</v>
      </c>
      <c r="E617" s="5" t="s">
        <v>806</v>
      </c>
      <c r="F617" s="5" t="s">
        <v>57</v>
      </c>
      <c r="G617" s="5" t="s">
        <v>58</v>
      </c>
      <c r="H617" s="5" t="n">
        <v>0</v>
      </c>
      <c r="I617" s="5" t="n">
        <v>0</v>
      </c>
      <c r="J617" s="5" t="n">
        <v>27</v>
      </c>
      <c r="K617" s="5" t="n">
        <v>17</v>
      </c>
      <c r="L617" s="5" t="n">
        <f aca="false">J617-K617</f>
        <v>10</v>
      </c>
      <c r="M617" s="11" t="n">
        <f aca="false">IF(J617=0,0,K617/J617)</f>
        <v>0.62962962962963</v>
      </c>
    </row>
    <row r="618" customFormat="false" ht="15" hidden="false" customHeight="false" outlineLevel="0" collapsed="false">
      <c r="A618" s="5" t="s">
        <v>1118</v>
      </c>
      <c r="B618" s="5" t="s">
        <v>60</v>
      </c>
      <c r="C618" s="5" t="s">
        <v>48</v>
      </c>
      <c r="D618" s="5" t="s">
        <v>1119</v>
      </c>
      <c r="E618" s="5" t="s">
        <v>753</v>
      </c>
      <c r="F618" s="5" t="s">
        <v>57</v>
      </c>
      <c r="G618" s="5" t="s">
        <v>58</v>
      </c>
      <c r="H618" s="5" t="n">
        <v>0</v>
      </c>
      <c r="I618" s="5" t="n">
        <v>0</v>
      </c>
      <c r="J618" s="5" t="n">
        <v>30</v>
      </c>
      <c r="K618" s="5" t="n">
        <v>24</v>
      </c>
      <c r="L618" s="5" t="n">
        <f aca="false">J618-K618</f>
        <v>6</v>
      </c>
      <c r="M618" s="11" t="n">
        <f aca="false">IF(J618=0,0,K618/J618)</f>
        <v>0.8</v>
      </c>
    </row>
    <row r="619" customFormat="false" ht="15" hidden="false" customHeight="false" outlineLevel="0" collapsed="false">
      <c r="A619" s="5" t="s">
        <v>1120</v>
      </c>
      <c r="B619" s="5" t="s">
        <v>1121</v>
      </c>
      <c r="C619" s="5" t="s">
        <v>48</v>
      </c>
      <c r="D619" s="5" t="s">
        <v>64</v>
      </c>
      <c r="E619" s="5" t="s">
        <v>1122</v>
      </c>
      <c r="F619" s="5" t="s">
        <v>51</v>
      </c>
      <c r="G619" s="5" t="s">
        <v>52</v>
      </c>
      <c r="H619" s="5" t="n">
        <v>4</v>
      </c>
      <c r="I619" s="5" t="n">
        <v>4</v>
      </c>
      <c r="J619" s="5" t="n">
        <v>7</v>
      </c>
      <c r="K619" s="5" t="n">
        <v>6</v>
      </c>
      <c r="L619" s="5" t="n">
        <f aca="false">J619-K619</f>
        <v>1</v>
      </c>
      <c r="M619" s="11" t="n">
        <f aca="false">IF(J619=0,0,K619/J619)</f>
        <v>0.857142857142857</v>
      </c>
    </row>
    <row r="620" customFormat="false" ht="15" hidden="false" customHeight="false" outlineLevel="0" collapsed="false">
      <c r="A620" s="5" t="s">
        <v>1123</v>
      </c>
      <c r="B620" s="5" t="s">
        <v>54</v>
      </c>
      <c r="C620" s="5" t="s">
        <v>48</v>
      </c>
      <c r="D620" s="5" t="s">
        <v>1124</v>
      </c>
      <c r="E620" s="5" t="s">
        <v>491</v>
      </c>
      <c r="F620" s="5" t="s">
        <v>57</v>
      </c>
      <c r="G620" s="5" t="s">
        <v>58</v>
      </c>
      <c r="H620" s="5" t="n">
        <v>0</v>
      </c>
      <c r="I620" s="5" t="n">
        <v>0</v>
      </c>
      <c r="J620" s="5" t="n">
        <v>20</v>
      </c>
      <c r="K620" s="5" t="n">
        <v>17</v>
      </c>
      <c r="L620" s="5" t="n">
        <f aca="false">J620-K620</f>
        <v>3</v>
      </c>
      <c r="M620" s="11" t="n">
        <f aca="false">IF(J620=0,0,K620/J620)</f>
        <v>0.85</v>
      </c>
    </row>
    <row r="621" customFormat="false" ht="15" hidden="false" customHeight="false" outlineLevel="0" collapsed="false">
      <c r="A621" s="5" t="s">
        <v>1125</v>
      </c>
      <c r="B621" s="5" t="s">
        <v>54</v>
      </c>
      <c r="C621" s="5" t="s">
        <v>48</v>
      </c>
      <c r="D621" s="5" t="s">
        <v>459</v>
      </c>
      <c r="E621" s="5" t="s">
        <v>553</v>
      </c>
      <c r="F621" s="5" t="s">
        <v>57</v>
      </c>
      <c r="G621" s="5" t="s">
        <v>58</v>
      </c>
      <c r="H621" s="5" t="n">
        <v>0</v>
      </c>
      <c r="I621" s="5" t="n">
        <v>0</v>
      </c>
      <c r="J621" s="5" t="n">
        <v>39</v>
      </c>
      <c r="K621" s="5" t="n">
        <v>27</v>
      </c>
      <c r="L621" s="5" t="n">
        <f aca="false">J621-K621</f>
        <v>12</v>
      </c>
      <c r="M621" s="11" t="n">
        <f aca="false">IF(J621=0,0,K621/J621)</f>
        <v>0.692307692307692</v>
      </c>
    </row>
    <row r="622" customFormat="false" ht="15" hidden="false" customHeight="false" outlineLevel="0" collapsed="false">
      <c r="A622" s="5" t="s">
        <v>1126</v>
      </c>
      <c r="B622" s="5" t="s">
        <v>54</v>
      </c>
      <c r="C622" s="5" t="s">
        <v>48</v>
      </c>
      <c r="D622" s="5" t="s">
        <v>459</v>
      </c>
      <c r="E622" s="5" t="s">
        <v>1127</v>
      </c>
      <c r="F622" s="5" t="s">
        <v>57</v>
      </c>
      <c r="G622" s="5" t="s">
        <v>58</v>
      </c>
      <c r="H622" s="5" t="n">
        <v>0</v>
      </c>
      <c r="I622" s="5" t="n">
        <v>0</v>
      </c>
      <c r="J622" s="5" t="n">
        <v>24</v>
      </c>
      <c r="K622" s="5" t="n">
        <v>22</v>
      </c>
      <c r="L622" s="5" t="n">
        <f aca="false">J622-K622</f>
        <v>2</v>
      </c>
      <c r="M622" s="11" t="n">
        <f aca="false">IF(J622=0,0,K622/J622)</f>
        <v>0.916666666666667</v>
      </c>
    </row>
    <row r="623" customFormat="false" ht="15" hidden="false" customHeight="false" outlineLevel="0" collapsed="false">
      <c r="A623" s="5" t="s">
        <v>1128</v>
      </c>
      <c r="B623" s="5" t="s">
        <v>54</v>
      </c>
      <c r="C623" s="5" t="s">
        <v>48</v>
      </c>
      <c r="D623" s="5" t="s">
        <v>1129</v>
      </c>
      <c r="E623" s="5" t="s">
        <v>56</v>
      </c>
      <c r="F623" s="5" t="s">
        <v>57</v>
      </c>
      <c r="G623" s="5" t="s">
        <v>58</v>
      </c>
      <c r="H623" s="5" t="n">
        <v>0</v>
      </c>
      <c r="I623" s="5" t="n">
        <v>0</v>
      </c>
      <c r="J623" s="5" t="n">
        <v>22</v>
      </c>
      <c r="K623" s="5" t="n">
        <v>17</v>
      </c>
      <c r="L623" s="5" t="n">
        <f aca="false">J623-K623</f>
        <v>5</v>
      </c>
      <c r="M623" s="11" t="n">
        <f aca="false">IF(J623=0,0,K623/J623)</f>
        <v>0.772727272727273</v>
      </c>
    </row>
    <row r="624" customFormat="false" ht="15" hidden="false" customHeight="false" outlineLevel="0" collapsed="false">
      <c r="A624" s="5" t="s">
        <v>1130</v>
      </c>
      <c r="B624" s="5" t="s">
        <v>54</v>
      </c>
      <c r="C624" s="5" t="s">
        <v>48</v>
      </c>
      <c r="D624" s="5" t="s">
        <v>100</v>
      </c>
      <c r="E624" s="5" t="s">
        <v>1129</v>
      </c>
      <c r="F624" s="5" t="s">
        <v>57</v>
      </c>
      <c r="G624" s="5" t="s">
        <v>58</v>
      </c>
      <c r="H624" s="5" t="n">
        <v>0</v>
      </c>
      <c r="I624" s="5" t="n">
        <v>0</v>
      </c>
      <c r="J624" s="5" t="n">
        <v>43</v>
      </c>
      <c r="K624" s="5" t="n">
        <v>29</v>
      </c>
      <c r="L624" s="5" t="n">
        <f aca="false">J624-K624</f>
        <v>14</v>
      </c>
      <c r="M624" s="11" t="n">
        <f aca="false">IF(J624=0,0,K624/J624)</f>
        <v>0.674418604651163</v>
      </c>
    </row>
    <row r="625" customFormat="false" ht="15" hidden="false" customHeight="false" outlineLevel="0" collapsed="false">
      <c r="A625" s="5" t="s">
        <v>1131</v>
      </c>
      <c r="B625" s="5" t="s">
        <v>54</v>
      </c>
      <c r="C625" s="5" t="s">
        <v>48</v>
      </c>
      <c r="D625" s="5" t="s">
        <v>56</v>
      </c>
      <c r="E625" s="5" t="s">
        <v>1132</v>
      </c>
      <c r="F625" s="5" t="s">
        <v>57</v>
      </c>
      <c r="G625" s="5" t="s">
        <v>58</v>
      </c>
      <c r="H625" s="5" t="n">
        <v>0</v>
      </c>
      <c r="I625" s="5" t="n">
        <v>0</v>
      </c>
      <c r="J625" s="5" t="n">
        <v>27</v>
      </c>
      <c r="K625" s="5" t="n">
        <v>20</v>
      </c>
      <c r="L625" s="5" t="n">
        <f aca="false">J625-K625</f>
        <v>7</v>
      </c>
      <c r="M625" s="11" t="n">
        <f aca="false">IF(J625=0,0,K625/J625)</f>
        <v>0.740740740740741</v>
      </c>
    </row>
    <row r="626" customFormat="false" ht="15" hidden="false" customHeight="false" outlineLevel="0" collapsed="false">
      <c r="A626" s="5" t="s">
        <v>1133</v>
      </c>
      <c r="B626" s="5" t="s">
        <v>54</v>
      </c>
      <c r="C626" s="5" t="s">
        <v>48</v>
      </c>
      <c r="D626" s="5" t="s">
        <v>1132</v>
      </c>
      <c r="E626" s="5" t="s">
        <v>56</v>
      </c>
      <c r="F626" s="5" t="s">
        <v>57</v>
      </c>
      <c r="G626" s="5" t="s">
        <v>58</v>
      </c>
      <c r="H626" s="5" t="n">
        <v>0</v>
      </c>
      <c r="I626" s="5" t="n">
        <v>0</v>
      </c>
      <c r="J626" s="5" t="n">
        <v>40</v>
      </c>
      <c r="K626" s="5" t="n">
        <v>29</v>
      </c>
      <c r="L626" s="5" t="n">
        <f aca="false">J626-K626</f>
        <v>11</v>
      </c>
      <c r="M626" s="11" t="n">
        <f aca="false">IF(J626=0,0,K626/J626)</f>
        <v>0.725</v>
      </c>
    </row>
    <row r="627" customFormat="false" ht="15" hidden="false" customHeight="false" outlineLevel="0" collapsed="false">
      <c r="A627" s="5" t="s">
        <v>1134</v>
      </c>
      <c r="B627" s="5" t="s">
        <v>54</v>
      </c>
      <c r="C627" s="5" t="s">
        <v>48</v>
      </c>
      <c r="D627" s="5" t="s">
        <v>64</v>
      </c>
      <c r="E627" s="5" t="s">
        <v>1070</v>
      </c>
      <c r="F627" s="5" t="s">
        <v>57</v>
      </c>
      <c r="G627" s="5" t="s">
        <v>58</v>
      </c>
      <c r="H627" s="5" t="n">
        <v>0</v>
      </c>
      <c r="I627" s="5" t="n">
        <v>0</v>
      </c>
      <c r="J627" s="5" t="n">
        <v>30</v>
      </c>
      <c r="K627" s="5" t="n">
        <v>22</v>
      </c>
      <c r="L627" s="5" t="n">
        <f aca="false">J627-K627</f>
        <v>8</v>
      </c>
      <c r="M627" s="11" t="n">
        <f aca="false">IF(J627=0,0,K627/J627)</f>
        <v>0.733333333333333</v>
      </c>
    </row>
    <row r="628" customFormat="false" ht="15" hidden="false" customHeight="false" outlineLevel="0" collapsed="false">
      <c r="A628" s="5" t="s">
        <v>1135</v>
      </c>
      <c r="B628" s="5" t="s">
        <v>54</v>
      </c>
      <c r="C628" s="5" t="s">
        <v>48</v>
      </c>
      <c r="D628" s="5" t="s">
        <v>64</v>
      </c>
      <c r="E628" s="5" t="s">
        <v>1136</v>
      </c>
      <c r="F628" s="5" t="s">
        <v>57</v>
      </c>
      <c r="G628" s="5" t="s">
        <v>58</v>
      </c>
      <c r="H628" s="5" t="n">
        <v>0</v>
      </c>
      <c r="I628" s="5" t="n">
        <v>0</v>
      </c>
      <c r="J628" s="5" t="n">
        <v>24</v>
      </c>
      <c r="K628" s="5" t="n">
        <v>18</v>
      </c>
      <c r="L628" s="5" t="n">
        <f aca="false">J628-K628</f>
        <v>6</v>
      </c>
      <c r="M628" s="11" t="n">
        <f aca="false">IF(J628=0,0,K628/J628)</f>
        <v>0.75</v>
      </c>
    </row>
    <row r="629" customFormat="false" ht="15" hidden="false" customHeight="false" outlineLevel="0" collapsed="false">
      <c r="A629" s="5" t="s">
        <v>1137</v>
      </c>
      <c r="B629" s="5" t="s">
        <v>54</v>
      </c>
      <c r="C629" s="5" t="s">
        <v>48</v>
      </c>
      <c r="D629" s="5" t="s">
        <v>64</v>
      </c>
      <c r="E629" s="5" t="s">
        <v>1138</v>
      </c>
      <c r="F629" s="5" t="s">
        <v>57</v>
      </c>
      <c r="G629" s="5" t="s">
        <v>58</v>
      </c>
      <c r="H629" s="5" t="n">
        <v>0</v>
      </c>
      <c r="I629" s="5" t="n">
        <v>0</v>
      </c>
      <c r="J629" s="5" t="n">
        <v>27</v>
      </c>
      <c r="K629" s="5" t="n">
        <v>23</v>
      </c>
      <c r="L629" s="5" t="n">
        <f aca="false">J629-K629</f>
        <v>4</v>
      </c>
      <c r="M629" s="11" t="n">
        <f aca="false">IF(J629=0,0,K629/J629)</f>
        <v>0.851851851851852</v>
      </c>
    </row>
    <row r="630" customFormat="false" ht="15" hidden="false" customHeight="false" outlineLevel="0" collapsed="false">
      <c r="A630" s="5" t="s">
        <v>1139</v>
      </c>
      <c r="B630" s="5" t="s">
        <v>54</v>
      </c>
      <c r="C630" s="5" t="s">
        <v>48</v>
      </c>
      <c r="D630" s="5" t="s">
        <v>64</v>
      </c>
      <c r="E630" s="5" t="s">
        <v>1140</v>
      </c>
      <c r="F630" s="5" t="s">
        <v>57</v>
      </c>
      <c r="G630" s="5" t="s">
        <v>58</v>
      </c>
      <c r="H630" s="5" t="n">
        <v>0</v>
      </c>
      <c r="I630" s="5" t="n">
        <v>0</v>
      </c>
      <c r="J630" s="5" t="n">
        <v>29</v>
      </c>
      <c r="K630" s="5" t="n">
        <v>25</v>
      </c>
      <c r="L630" s="5" t="n">
        <f aca="false">J630-K630</f>
        <v>4</v>
      </c>
      <c r="M630" s="11" t="n">
        <f aca="false">IF(J630=0,0,K630/J630)</f>
        <v>0.862068965517241</v>
      </c>
    </row>
    <row r="631" customFormat="false" ht="15" hidden="false" customHeight="false" outlineLevel="0" collapsed="false">
      <c r="A631" s="5" t="s">
        <v>1141</v>
      </c>
      <c r="B631" s="5" t="s">
        <v>54</v>
      </c>
      <c r="C631" s="5" t="s">
        <v>48</v>
      </c>
      <c r="D631" s="5" t="s">
        <v>64</v>
      </c>
      <c r="E631" s="5" t="s">
        <v>1142</v>
      </c>
      <c r="F631" s="5" t="s">
        <v>57</v>
      </c>
      <c r="G631" s="5" t="s">
        <v>58</v>
      </c>
      <c r="H631" s="5" t="n">
        <v>0</v>
      </c>
      <c r="I631" s="5" t="n">
        <v>0</v>
      </c>
      <c r="J631" s="5" t="n">
        <v>26</v>
      </c>
      <c r="K631" s="5" t="n">
        <v>22</v>
      </c>
      <c r="L631" s="5" t="n">
        <f aca="false">J631-K631</f>
        <v>4</v>
      </c>
      <c r="M631" s="11" t="n">
        <f aca="false">IF(J631=0,0,K631/J631)</f>
        <v>0.846153846153846</v>
      </c>
    </row>
    <row r="632" customFormat="false" ht="15" hidden="false" customHeight="false" outlineLevel="0" collapsed="false">
      <c r="A632" s="5" t="s">
        <v>1143</v>
      </c>
      <c r="B632" s="5" t="s">
        <v>54</v>
      </c>
      <c r="C632" s="5" t="s">
        <v>48</v>
      </c>
      <c r="D632" s="5" t="s">
        <v>64</v>
      </c>
      <c r="E632" s="5" t="s">
        <v>617</v>
      </c>
      <c r="F632" s="5" t="s">
        <v>57</v>
      </c>
      <c r="G632" s="5" t="s">
        <v>58</v>
      </c>
      <c r="H632" s="5" t="n">
        <v>0</v>
      </c>
      <c r="I632" s="5" t="n">
        <v>0</v>
      </c>
      <c r="J632" s="5" t="n">
        <v>23</v>
      </c>
      <c r="K632" s="5" t="n">
        <v>14</v>
      </c>
      <c r="L632" s="5" t="n">
        <f aca="false">J632-K632</f>
        <v>9</v>
      </c>
      <c r="M632" s="11" t="n">
        <f aca="false">IF(J632=0,0,K632/J632)</f>
        <v>0.608695652173913</v>
      </c>
    </row>
    <row r="633" customFormat="false" ht="15" hidden="false" customHeight="false" outlineLevel="0" collapsed="false">
      <c r="A633" s="5" t="s">
        <v>1144</v>
      </c>
      <c r="B633" s="5" t="s">
        <v>54</v>
      </c>
      <c r="C633" s="5" t="s">
        <v>48</v>
      </c>
      <c r="D633" s="5" t="s">
        <v>64</v>
      </c>
      <c r="E633" s="5" t="s">
        <v>723</v>
      </c>
      <c r="F633" s="5" t="s">
        <v>57</v>
      </c>
      <c r="G633" s="5" t="s">
        <v>58</v>
      </c>
      <c r="H633" s="5" t="n">
        <v>0</v>
      </c>
      <c r="I633" s="5" t="n">
        <v>0</v>
      </c>
      <c r="J633" s="5" t="n">
        <v>31</v>
      </c>
      <c r="K633" s="5" t="n">
        <v>27</v>
      </c>
      <c r="L633" s="5" t="n">
        <f aca="false">J633-K633</f>
        <v>4</v>
      </c>
      <c r="M633" s="11" t="n">
        <f aca="false">IF(J633=0,0,K633/J633)</f>
        <v>0.870967741935484</v>
      </c>
    </row>
    <row r="634" customFormat="false" ht="15" hidden="false" customHeight="false" outlineLevel="0" collapsed="false">
      <c r="A634" s="5" t="s">
        <v>1145</v>
      </c>
      <c r="B634" s="5" t="s">
        <v>54</v>
      </c>
      <c r="C634" s="5" t="s">
        <v>48</v>
      </c>
      <c r="D634" s="5" t="s">
        <v>64</v>
      </c>
      <c r="E634" s="5" t="s">
        <v>1146</v>
      </c>
      <c r="F634" s="5" t="s">
        <v>57</v>
      </c>
      <c r="G634" s="5" t="s">
        <v>58</v>
      </c>
      <c r="H634" s="5" t="n">
        <v>0</v>
      </c>
      <c r="I634" s="5" t="n">
        <v>0</v>
      </c>
      <c r="J634" s="5" t="n">
        <v>36</v>
      </c>
      <c r="K634" s="5" t="n">
        <v>23</v>
      </c>
      <c r="L634" s="5" t="n">
        <f aca="false">J634-K634</f>
        <v>13</v>
      </c>
      <c r="M634" s="11" t="n">
        <f aca="false">IF(J634=0,0,K634/J634)</f>
        <v>0.638888888888889</v>
      </c>
    </row>
    <row r="635" customFormat="false" ht="15" hidden="false" customHeight="false" outlineLevel="0" collapsed="false">
      <c r="A635" s="5" t="s">
        <v>1147</v>
      </c>
      <c r="B635" s="5" t="s">
        <v>54</v>
      </c>
      <c r="C635" s="5" t="s">
        <v>48</v>
      </c>
      <c r="D635" s="5" t="s">
        <v>1148</v>
      </c>
      <c r="E635" s="5" t="s">
        <v>303</v>
      </c>
      <c r="F635" s="5" t="s">
        <v>57</v>
      </c>
      <c r="G635" s="5" t="s">
        <v>58</v>
      </c>
      <c r="H635" s="5" t="n">
        <v>0</v>
      </c>
      <c r="I635" s="5" t="n">
        <v>0</v>
      </c>
      <c r="J635" s="5" t="n">
        <v>19</v>
      </c>
      <c r="K635" s="5" t="n">
        <v>17</v>
      </c>
      <c r="L635" s="5" t="n">
        <f aca="false">J635-K635</f>
        <v>2</v>
      </c>
      <c r="M635" s="11" t="n">
        <f aca="false">IF(J635=0,0,K635/J635)</f>
        <v>0.894736842105263</v>
      </c>
    </row>
    <row r="636" customFormat="false" ht="15" hidden="false" customHeight="false" outlineLevel="0" collapsed="false">
      <c r="A636" s="5" t="s">
        <v>1149</v>
      </c>
      <c r="B636" s="5" t="s">
        <v>54</v>
      </c>
      <c r="C636" s="5" t="s">
        <v>48</v>
      </c>
      <c r="D636" s="5" t="s">
        <v>459</v>
      </c>
      <c r="E636" s="5" t="s">
        <v>100</v>
      </c>
      <c r="F636" s="5" t="s">
        <v>57</v>
      </c>
      <c r="G636" s="5" t="s">
        <v>58</v>
      </c>
      <c r="H636" s="5" t="n">
        <v>0</v>
      </c>
      <c r="I636" s="5" t="n">
        <v>0</v>
      </c>
      <c r="J636" s="5" t="n">
        <v>15</v>
      </c>
      <c r="K636" s="5" t="n">
        <v>14</v>
      </c>
      <c r="L636" s="5" t="n">
        <f aca="false">J636-K636</f>
        <v>1</v>
      </c>
      <c r="M636" s="11" t="n">
        <f aca="false">IF(J636=0,0,K636/J636)</f>
        <v>0.933333333333333</v>
      </c>
    </row>
    <row r="637" customFormat="false" ht="15" hidden="false" customHeight="false" outlineLevel="0" collapsed="false">
      <c r="A637" s="5" t="s">
        <v>1150</v>
      </c>
      <c r="B637" s="5" t="s">
        <v>54</v>
      </c>
      <c r="C637" s="5" t="s">
        <v>48</v>
      </c>
      <c r="D637" s="5" t="s">
        <v>56</v>
      </c>
      <c r="E637" s="5" t="s">
        <v>806</v>
      </c>
      <c r="F637" s="5" t="s">
        <v>57</v>
      </c>
      <c r="G637" s="5" t="s">
        <v>58</v>
      </c>
      <c r="H637" s="5" t="n">
        <v>0</v>
      </c>
      <c r="I637" s="5" t="n">
        <v>0</v>
      </c>
      <c r="J637" s="5" t="n">
        <v>20</v>
      </c>
      <c r="K637" s="5" t="n">
        <v>13</v>
      </c>
      <c r="L637" s="5" t="n">
        <f aca="false">J637-K637</f>
        <v>7</v>
      </c>
      <c r="M637" s="11" t="n">
        <f aca="false">IF(J637=0,0,K637/J637)</f>
        <v>0.65</v>
      </c>
    </row>
    <row r="638" customFormat="false" ht="15" hidden="false" customHeight="false" outlineLevel="0" collapsed="false">
      <c r="A638" s="5" t="s">
        <v>1151</v>
      </c>
      <c r="B638" s="5" t="s">
        <v>54</v>
      </c>
      <c r="C638" s="5" t="s">
        <v>48</v>
      </c>
      <c r="D638" s="5" t="s">
        <v>90</v>
      </c>
      <c r="E638" s="5" t="s">
        <v>1152</v>
      </c>
      <c r="F638" s="5" t="s">
        <v>57</v>
      </c>
      <c r="G638" s="5" t="s">
        <v>58</v>
      </c>
      <c r="H638" s="5" t="n">
        <v>0</v>
      </c>
      <c r="I638" s="5" t="n">
        <v>0</v>
      </c>
      <c r="J638" s="5" t="n">
        <v>9</v>
      </c>
      <c r="K638" s="5" t="n">
        <v>8</v>
      </c>
      <c r="L638" s="5" t="n">
        <f aca="false">J638-K638</f>
        <v>1</v>
      </c>
      <c r="M638" s="11" t="n">
        <f aca="false">IF(J638=0,0,K638/J638)</f>
        <v>0.888888888888889</v>
      </c>
    </row>
    <row r="639" customFormat="false" ht="15" hidden="false" customHeight="false" outlineLevel="0" collapsed="false">
      <c r="A639" s="5" t="s">
        <v>1153</v>
      </c>
      <c r="B639" s="5" t="s">
        <v>54</v>
      </c>
      <c r="C639" s="5" t="s">
        <v>48</v>
      </c>
      <c r="D639" s="5" t="s">
        <v>880</v>
      </c>
      <c r="E639" s="5" t="s">
        <v>90</v>
      </c>
      <c r="F639" s="5" t="s">
        <v>57</v>
      </c>
      <c r="G639" s="5" t="s">
        <v>58</v>
      </c>
      <c r="H639" s="5" t="n">
        <v>0</v>
      </c>
      <c r="I639" s="5" t="n">
        <v>0</v>
      </c>
      <c r="J639" s="5" t="n">
        <v>11</v>
      </c>
      <c r="K639" s="5" t="n">
        <v>8</v>
      </c>
      <c r="L639" s="5" t="n">
        <f aca="false">J639-K639</f>
        <v>3</v>
      </c>
      <c r="M639" s="11" t="n">
        <f aca="false">IF(J639=0,0,K639/J639)</f>
        <v>0.727272727272727</v>
      </c>
    </row>
    <row r="640" customFormat="false" ht="15" hidden="false" customHeight="false" outlineLevel="0" collapsed="false">
      <c r="A640" s="5" t="s">
        <v>1154</v>
      </c>
      <c r="B640" s="5" t="s">
        <v>54</v>
      </c>
      <c r="C640" s="5" t="s">
        <v>48</v>
      </c>
      <c r="D640" s="5" t="s">
        <v>303</v>
      </c>
      <c r="E640" s="5" t="s">
        <v>1155</v>
      </c>
      <c r="F640" s="5" t="s">
        <v>57</v>
      </c>
      <c r="G640" s="5" t="s">
        <v>58</v>
      </c>
      <c r="H640" s="5" t="n">
        <v>0</v>
      </c>
      <c r="I640" s="5" t="n">
        <v>0</v>
      </c>
      <c r="J640" s="5" t="n">
        <v>15</v>
      </c>
      <c r="K640" s="5" t="n">
        <v>14</v>
      </c>
      <c r="L640" s="5" t="n">
        <f aca="false">J640-K640</f>
        <v>1</v>
      </c>
      <c r="M640" s="11" t="n">
        <f aca="false">IF(J640=0,0,K640/J640)</f>
        <v>0.933333333333333</v>
      </c>
    </row>
    <row r="641" customFormat="false" ht="15" hidden="false" customHeight="false" outlineLevel="0" collapsed="false">
      <c r="A641" s="5" t="s">
        <v>1156</v>
      </c>
      <c r="B641" s="5" t="s">
        <v>475</v>
      </c>
      <c r="C641" s="5" t="s">
        <v>429</v>
      </c>
      <c r="D641" s="5" t="s">
        <v>303</v>
      </c>
      <c r="E641" s="5" t="s">
        <v>288</v>
      </c>
      <c r="F641" s="5" t="s">
        <v>51</v>
      </c>
      <c r="G641" s="5" t="s">
        <v>52</v>
      </c>
      <c r="H641" s="5" t="n">
        <v>8</v>
      </c>
      <c r="I641" s="5" t="n">
        <v>8</v>
      </c>
      <c r="J641" s="5" t="n">
        <v>7</v>
      </c>
      <c r="K641" s="5" t="n">
        <v>7</v>
      </c>
      <c r="L641" s="5" t="n">
        <f aca="false">J641-K641</f>
        <v>0</v>
      </c>
      <c r="M641" s="11" t="n">
        <f aca="false">IF(J641=0,0,K641/J641)</f>
        <v>1</v>
      </c>
    </row>
    <row r="642" customFormat="false" ht="15" hidden="false" customHeight="false" outlineLevel="0" collapsed="false">
      <c r="A642" s="5" t="s">
        <v>1157</v>
      </c>
      <c r="B642" s="5" t="s">
        <v>54</v>
      </c>
      <c r="C642" s="5" t="s">
        <v>48</v>
      </c>
      <c r="D642" s="5" t="s">
        <v>303</v>
      </c>
      <c r="E642" s="5" t="s">
        <v>299</v>
      </c>
      <c r="F642" s="5" t="s">
        <v>57</v>
      </c>
      <c r="G642" s="5" t="s">
        <v>58</v>
      </c>
      <c r="H642" s="5" t="n">
        <v>0</v>
      </c>
      <c r="I642" s="5" t="n">
        <v>0</v>
      </c>
      <c r="J642" s="5" t="n">
        <v>14</v>
      </c>
      <c r="K642" s="5" t="n">
        <v>14</v>
      </c>
      <c r="L642" s="5" t="n">
        <f aca="false">J642-K642</f>
        <v>0</v>
      </c>
      <c r="M642" s="11" t="n">
        <f aca="false">IF(J642=0,0,K642/J642)</f>
        <v>1</v>
      </c>
    </row>
    <row r="643" customFormat="false" ht="15" hidden="false" customHeight="false" outlineLevel="0" collapsed="false">
      <c r="A643" s="5" t="s">
        <v>1158</v>
      </c>
      <c r="B643" s="5" t="s">
        <v>54</v>
      </c>
      <c r="C643" s="5" t="s">
        <v>48</v>
      </c>
      <c r="D643" s="5" t="s">
        <v>133</v>
      </c>
      <c r="E643" s="5" t="s">
        <v>463</v>
      </c>
      <c r="F643" s="5" t="s">
        <v>57</v>
      </c>
      <c r="G643" s="5" t="s">
        <v>58</v>
      </c>
      <c r="H643" s="5" t="n">
        <v>0</v>
      </c>
      <c r="I643" s="5" t="n">
        <v>0</v>
      </c>
      <c r="J643" s="5" t="n">
        <v>7</v>
      </c>
      <c r="K643" s="5" t="n">
        <v>7</v>
      </c>
      <c r="L643" s="5" t="n">
        <f aca="false">J643-K643</f>
        <v>0</v>
      </c>
      <c r="M643" s="11" t="n">
        <f aca="false">IF(J643=0,0,K643/J643)</f>
        <v>1</v>
      </c>
    </row>
    <row r="644" customFormat="false" ht="15" hidden="false" customHeight="false" outlineLevel="0" collapsed="false">
      <c r="A644" s="5" t="s">
        <v>1159</v>
      </c>
      <c r="B644" s="5" t="s">
        <v>54</v>
      </c>
      <c r="C644" s="5" t="s">
        <v>48</v>
      </c>
      <c r="D644" s="5" t="s">
        <v>454</v>
      </c>
      <c r="E644" s="5" t="s">
        <v>64</v>
      </c>
      <c r="F644" s="5" t="s">
        <v>57</v>
      </c>
      <c r="G644" s="5" t="s">
        <v>58</v>
      </c>
      <c r="H644" s="5" t="n">
        <v>0</v>
      </c>
      <c r="I644" s="5" t="n">
        <v>0</v>
      </c>
      <c r="J644" s="5" t="n">
        <v>16</v>
      </c>
      <c r="K644" s="5" t="n">
        <v>15</v>
      </c>
      <c r="L644" s="5" t="n">
        <f aca="false">J644-K644</f>
        <v>1</v>
      </c>
      <c r="M644" s="11" t="n">
        <f aca="false">IF(J644=0,0,K644/J644)</f>
        <v>0.9375</v>
      </c>
    </row>
    <row r="645" customFormat="false" ht="15" hidden="false" customHeight="false" outlineLevel="0" collapsed="false">
      <c r="A645" s="5" t="s">
        <v>1160</v>
      </c>
      <c r="B645" s="5" t="s">
        <v>54</v>
      </c>
      <c r="C645" s="5" t="s">
        <v>48</v>
      </c>
      <c r="D645" s="5" t="s">
        <v>206</v>
      </c>
      <c r="E645" s="5" t="s">
        <v>491</v>
      </c>
      <c r="F645" s="5" t="s">
        <v>57</v>
      </c>
      <c r="G645" s="5" t="s">
        <v>58</v>
      </c>
      <c r="H645" s="5" t="n">
        <v>0</v>
      </c>
      <c r="I645" s="5" t="n">
        <v>0</v>
      </c>
      <c r="J645" s="5" t="n">
        <v>21</v>
      </c>
      <c r="K645" s="5" t="n">
        <v>18</v>
      </c>
      <c r="L645" s="5" t="n">
        <f aca="false">J645-K645</f>
        <v>3</v>
      </c>
      <c r="M645" s="11" t="n">
        <f aca="false">IF(J645=0,0,K645/J645)</f>
        <v>0.857142857142857</v>
      </c>
    </row>
    <row r="646" customFormat="false" ht="15" hidden="false" customHeight="false" outlineLevel="0" collapsed="false">
      <c r="A646" s="5" t="s">
        <v>1161</v>
      </c>
      <c r="B646" s="5" t="s">
        <v>54</v>
      </c>
      <c r="C646" s="5" t="s">
        <v>48</v>
      </c>
      <c r="D646" s="5" t="s">
        <v>454</v>
      </c>
      <c r="E646" s="5" t="s">
        <v>56</v>
      </c>
      <c r="F646" s="5" t="s">
        <v>57</v>
      </c>
      <c r="G646" s="5" t="s">
        <v>58</v>
      </c>
      <c r="H646" s="5" t="n">
        <v>0</v>
      </c>
      <c r="I646" s="5" t="n">
        <v>0</v>
      </c>
      <c r="J646" s="5" t="n">
        <v>15</v>
      </c>
      <c r="K646" s="5" t="n">
        <v>14</v>
      </c>
      <c r="L646" s="5" t="n">
        <f aca="false">J646-K646</f>
        <v>1</v>
      </c>
      <c r="M646" s="11" t="n">
        <f aca="false">IF(J646=0,0,K646/J646)</f>
        <v>0.933333333333333</v>
      </c>
    </row>
    <row r="647" customFormat="false" ht="15" hidden="false" customHeight="false" outlineLevel="0" collapsed="false">
      <c r="A647" s="5" t="s">
        <v>1162</v>
      </c>
      <c r="B647" s="5" t="s">
        <v>475</v>
      </c>
      <c r="C647" s="5" t="s">
        <v>429</v>
      </c>
      <c r="D647" s="5" t="s">
        <v>56</v>
      </c>
      <c r="E647" s="5" t="s">
        <v>288</v>
      </c>
      <c r="F647" s="5" t="s">
        <v>51</v>
      </c>
      <c r="G647" s="5" t="s">
        <v>52</v>
      </c>
      <c r="H647" s="5" t="n">
        <v>10</v>
      </c>
      <c r="I647" s="5" t="n">
        <v>10</v>
      </c>
      <c r="J647" s="5" t="n">
        <v>7</v>
      </c>
      <c r="K647" s="5" t="n">
        <v>7</v>
      </c>
      <c r="L647" s="5" t="n">
        <f aca="false">J647-K647</f>
        <v>0</v>
      </c>
      <c r="M647" s="11" t="n">
        <f aca="false">IF(J647=0,0,K647/J647)</f>
        <v>1</v>
      </c>
    </row>
    <row r="648" customFormat="false" ht="15" hidden="false" customHeight="false" outlineLevel="0" collapsed="false">
      <c r="A648" s="5" t="s">
        <v>1163</v>
      </c>
      <c r="B648" s="5" t="s">
        <v>54</v>
      </c>
      <c r="C648" s="5" t="s">
        <v>48</v>
      </c>
      <c r="D648" s="5" t="s">
        <v>1164</v>
      </c>
      <c r="E648" s="5" t="s">
        <v>82</v>
      </c>
      <c r="F648" s="5" t="s">
        <v>57</v>
      </c>
      <c r="G648" s="5" t="s">
        <v>58</v>
      </c>
      <c r="H648" s="5" t="n">
        <v>0</v>
      </c>
      <c r="I648" s="5" t="n">
        <v>0</v>
      </c>
      <c r="J648" s="5" t="n">
        <v>33</v>
      </c>
      <c r="K648" s="5" t="n">
        <v>30</v>
      </c>
      <c r="L648" s="5" t="n">
        <f aca="false">J648-K648</f>
        <v>3</v>
      </c>
      <c r="M648" s="11" t="n">
        <f aca="false">IF(J648=0,0,K648/J648)</f>
        <v>0.909090909090909</v>
      </c>
    </row>
    <row r="649" customFormat="false" ht="15" hidden="false" customHeight="false" outlineLevel="0" collapsed="false">
      <c r="A649" s="5" t="s">
        <v>1165</v>
      </c>
      <c r="B649" s="5" t="s">
        <v>54</v>
      </c>
      <c r="C649" s="5" t="s">
        <v>48</v>
      </c>
      <c r="D649" s="5" t="s">
        <v>206</v>
      </c>
      <c r="E649" s="5" t="s">
        <v>64</v>
      </c>
      <c r="F649" s="5" t="s">
        <v>57</v>
      </c>
      <c r="G649" s="5" t="s">
        <v>58</v>
      </c>
      <c r="H649" s="5" t="n">
        <v>0</v>
      </c>
      <c r="I649" s="5" t="n">
        <v>0</v>
      </c>
      <c r="J649" s="5" t="n">
        <v>18</v>
      </c>
      <c r="K649" s="5" t="n">
        <v>17</v>
      </c>
      <c r="L649" s="5" t="n">
        <f aca="false">J649-K649</f>
        <v>1</v>
      </c>
      <c r="M649" s="11" t="n">
        <f aca="false">IF(J649=0,0,K649/J649)</f>
        <v>0.944444444444444</v>
      </c>
    </row>
    <row r="650" customFormat="false" ht="15" hidden="false" customHeight="false" outlineLevel="0" collapsed="false">
      <c r="A650" s="5" t="s">
        <v>1166</v>
      </c>
      <c r="B650" s="5" t="s">
        <v>475</v>
      </c>
      <c r="C650" s="5" t="s">
        <v>429</v>
      </c>
      <c r="D650" s="5" t="s">
        <v>56</v>
      </c>
      <c r="E650" s="5" t="s">
        <v>206</v>
      </c>
      <c r="F650" s="5" t="s">
        <v>51</v>
      </c>
      <c r="G650" s="5" t="s">
        <v>52</v>
      </c>
      <c r="H650" s="5" t="n">
        <v>8</v>
      </c>
      <c r="I650" s="5" t="n">
        <v>8</v>
      </c>
      <c r="J650" s="5" t="n">
        <v>7</v>
      </c>
      <c r="K650" s="5" t="n">
        <v>7</v>
      </c>
      <c r="L650" s="5" t="n">
        <f aca="false">J650-K650</f>
        <v>0</v>
      </c>
      <c r="M650" s="11" t="n">
        <f aca="false">IF(J650=0,0,K650/J650)</f>
        <v>1</v>
      </c>
    </row>
    <row r="651" customFormat="false" ht="15" hidden="false" customHeight="false" outlineLevel="0" collapsed="false">
      <c r="A651" s="5" t="s">
        <v>1167</v>
      </c>
      <c r="B651" s="5" t="s">
        <v>54</v>
      </c>
      <c r="C651" s="5" t="s">
        <v>48</v>
      </c>
      <c r="D651" s="5" t="s">
        <v>779</v>
      </c>
      <c r="E651" s="5" t="s">
        <v>64</v>
      </c>
      <c r="F651" s="5" t="s">
        <v>57</v>
      </c>
      <c r="G651" s="5" t="s">
        <v>58</v>
      </c>
      <c r="H651" s="5" t="n">
        <v>0</v>
      </c>
      <c r="I651" s="5" t="n">
        <v>0</v>
      </c>
      <c r="J651" s="5" t="n">
        <v>19</v>
      </c>
      <c r="K651" s="5" t="n">
        <v>19</v>
      </c>
      <c r="L651" s="5" t="n">
        <f aca="false">J651-K651</f>
        <v>0</v>
      </c>
      <c r="M651" s="11" t="n">
        <f aca="false">IF(J651=0,0,K651/J651)</f>
        <v>1</v>
      </c>
    </row>
  </sheetData>
  <autoFilter ref="A1:M6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3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43.5" hidden="false" customHeight="true" outlineLevel="0" collapsed="false">
      <c r="A1" s="10" t="s">
        <v>1168</v>
      </c>
      <c r="B1" s="10" t="s">
        <v>1169</v>
      </c>
      <c r="C1" s="10" t="s">
        <v>1170</v>
      </c>
      <c r="D1" s="10" t="s">
        <v>1171</v>
      </c>
      <c r="E1" s="10" t="s">
        <v>1172</v>
      </c>
      <c r="F1" s="10" t="s">
        <v>1173</v>
      </c>
      <c r="G1" s="10" t="s">
        <v>1174</v>
      </c>
      <c r="H1" s="10" t="s">
        <v>1175</v>
      </c>
    </row>
    <row r="2" customFormat="false" ht="15" hidden="false" customHeight="false" outlineLevel="0" collapsed="false">
      <c r="A2" s="5" t="n">
        <v>1</v>
      </c>
      <c r="B2" s="5" t="s">
        <v>485</v>
      </c>
      <c r="C2" s="5" t="s">
        <v>1176</v>
      </c>
      <c r="D2" s="5" t="n">
        <v>7</v>
      </c>
      <c r="E2" s="5" t="n">
        <v>6</v>
      </c>
      <c r="F2" s="5" t="n">
        <v>7</v>
      </c>
      <c r="G2" s="5" t="s">
        <v>1177</v>
      </c>
      <c r="H2" s="5" t="s">
        <v>1178</v>
      </c>
    </row>
    <row r="3" customFormat="false" ht="15" hidden="false" customHeight="false" outlineLevel="0" collapsed="false">
      <c r="A3" s="5" t="n">
        <v>2</v>
      </c>
      <c r="B3" s="5" t="s">
        <v>833</v>
      </c>
      <c r="C3" s="5" t="s">
        <v>1176</v>
      </c>
      <c r="D3" s="5" t="n">
        <v>21</v>
      </c>
      <c r="E3" s="5" t="n">
        <v>5</v>
      </c>
      <c r="F3" s="5" t="n">
        <v>1</v>
      </c>
      <c r="G3" s="5" t="s">
        <v>1179</v>
      </c>
      <c r="H3" s="5" t="s">
        <v>1180</v>
      </c>
    </row>
    <row r="4" customFormat="false" ht="15" hidden="false" customHeight="false" outlineLevel="0" collapsed="false">
      <c r="A4" s="5" t="n">
        <v>3</v>
      </c>
      <c r="B4" s="5" t="s">
        <v>49</v>
      </c>
      <c r="C4" s="5" t="s">
        <v>1181</v>
      </c>
      <c r="D4" s="5" t="n">
        <v>28</v>
      </c>
      <c r="E4" s="5" t="n">
        <v>2</v>
      </c>
      <c r="F4" s="5" t="n">
        <v>1</v>
      </c>
      <c r="G4" s="5" t="s">
        <v>1182</v>
      </c>
      <c r="H4" s="5" t="s">
        <v>1183</v>
      </c>
    </row>
    <row r="5" customFormat="false" ht="15" hidden="false" customHeight="false" outlineLevel="0" collapsed="false">
      <c r="A5" s="5" t="n">
        <v>4</v>
      </c>
      <c r="B5" s="5" t="s">
        <v>612</v>
      </c>
      <c r="C5" s="5" t="s">
        <v>1176</v>
      </c>
      <c r="D5" s="5" t="n">
        <v>37</v>
      </c>
      <c r="E5" s="5" t="n">
        <v>0</v>
      </c>
      <c r="F5" s="5" t="n">
        <v>0</v>
      </c>
      <c r="G5" s="5" t="s">
        <v>1184</v>
      </c>
      <c r="H5" s="5" t="s">
        <v>1185</v>
      </c>
    </row>
    <row r="6" customFormat="false" ht="15" hidden="false" customHeight="false" outlineLevel="0" collapsed="false">
      <c r="A6" s="5" t="n">
        <v>5</v>
      </c>
      <c r="B6" s="5" t="s">
        <v>179</v>
      </c>
      <c r="C6" s="5" t="s">
        <v>1176</v>
      </c>
      <c r="D6" s="5" t="n">
        <v>19</v>
      </c>
      <c r="E6" s="5" t="n">
        <v>3</v>
      </c>
      <c r="F6" s="5" t="n">
        <v>1</v>
      </c>
      <c r="G6" s="5" t="s">
        <v>1186</v>
      </c>
      <c r="H6" s="5" t="s">
        <v>1187</v>
      </c>
    </row>
    <row r="7" customFormat="false" ht="15" hidden="false" customHeight="false" outlineLevel="0" collapsed="false">
      <c r="A7" s="5" t="n">
        <v>6</v>
      </c>
      <c r="B7" s="5" t="s">
        <v>1188</v>
      </c>
      <c r="C7" s="5" t="s">
        <v>1181</v>
      </c>
      <c r="D7" s="5" t="n">
        <v>20</v>
      </c>
      <c r="E7" s="5" t="n">
        <v>3</v>
      </c>
      <c r="F7" s="5" t="n">
        <v>0</v>
      </c>
      <c r="G7" s="5" t="s">
        <v>1189</v>
      </c>
      <c r="H7" s="5" t="s">
        <v>1190</v>
      </c>
    </row>
    <row r="8" customFormat="false" ht="15" hidden="false" customHeight="false" outlineLevel="0" collapsed="false">
      <c r="A8" s="5" t="n">
        <v>7</v>
      </c>
      <c r="B8" s="5" t="s">
        <v>185</v>
      </c>
      <c r="C8" s="5" t="s">
        <v>1176</v>
      </c>
      <c r="D8" s="5" t="n">
        <v>34</v>
      </c>
      <c r="E8" s="5" t="n">
        <v>0</v>
      </c>
      <c r="F8" s="5" t="n">
        <v>0</v>
      </c>
      <c r="G8" s="5" t="s">
        <v>1191</v>
      </c>
      <c r="H8" s="5" t="s">
        <v>1192</v>
      </c>
    </row>
    <row r="9" customFormat="false" ht="15" hidden="false" customHeight="false" outlineLevel="0" collapsed="false">
      <c r="A9" s="5" t="n">
        <v>8</v>
      </c>
      <c r="B9" s="5" t="s">
        <v>952</v>
      </c>
      <c r="C9" s="5" t="s">
        <v>1181</v>
      </c>
      <c r="D9" s="5" t="n">
        <v>19</v>
      </c>
      <c r="E9" s="5" t="n">
        <v>3</v>
      </c>
      <c r="F9" s="5" t="n">
        <v>0</v>
      </c>
      <c r="G9" s="5" t="s">
        <v>1193</v>
      </c>
      <c r="H9" s="5" t="s">
        <v>1194</v>
      </c>
    </row>
    <row r="10" customFormat="false" ht="15" hidden="false" customHeight="false" outlineLevel="0" collapsed="false">
      <c r="A10" s="5" t="n">
        <v>9</v>
      </c>
      <c r="B10" s="5" t="s">
        <v>1195</v>
      </c>
      <c r="C10" s="5" t="s">
        <v>1181</v>
      </c>
      <c r="D10" s="5" t="n">
        <v>13</v>
      </c>
      <c r="E10" s="5" t="n">
        <v>4</v>
      </c>
      <c r="F10" s="5" t="n">
        <v>0</v>
      </c>
      <c r="G10" s="5" t="s">
        <v>1196</v>
      </c>
      <c r="H10" s="5" t="s">
        <v>1197</v>
      </c>
    </row>
    <row r="11" customFormat="false" ht="15" hidden="false" customHeight="false" outlineLevel="0" collapsed="false">
      <c r="A11" s="5" t="n">
        <v>10</v>
      </c>
      <c r="B11" s="5" t="s">
        <v>1198</v>
      </c>
      <c r="C11" s="5" t="s">
        <v>1176</v>
      </c>
      <c r="D11" s="5" t="n">
        <v>24</v>
      </c>
      <c r="E11" s="5" t="n">
        <v>1</v>
      </c>
      <c r="F11" s="5" t="n">
        <v>1</v>
      </c>
      <c r="G11" s="5" t="s">
        <v>1199</v>
      </c>
      <c r="H11" s="5" t="s">
        <v>1200</v>
      </c>
    </row>
    <row r="12" customFormat="false" ht="15" hidden="false" customHeight="false" outlineLevel="0" collapsed="false">
      <c r="A12" s="5" t="n">
        <v>11</v>
      </c>
      <c r="B12" s="5" t="s">
        <v>1201</v>
      </c>
      <c r="C12" s="5" t="s">
        <v>1181</v>
      </c>
      <c r="D12" s="5" t="n">
        <v>8</v>
      </c>
      <c r="E12" s="5" t="n">
        <v>4</v>
      </c>
      <c r="F12" s="5" t="n">
        <v>0</v>
      </c>
      <c r="G12" s="5" t="s">
        <v>1202</v>
      </c>
      <c r="H12" s="5" t="s">
        <v>1203</v>
      </c>
    </row>
    <row r="13" customFormat="false" ht="15" hidden="false" customHeight="false" outlineLevel="0" collapsed="false">
      <c r="A13" s="5" t="n">
        <v>12</v>
      </c>
      <c r="B13" s="5" t="s">
        <v>1204</v>
      </c>
      <c r="C13" s="5" t="s">
        <v>1181</v>
      </c>
      <c r="D13" s="5" t="n">
        <v>18</v>
      </c>
      <c r="E13" s="5" t="n">
        <v>2</v>
      </c>
      <c r="F13" s="5" t="n">
        <v>0</v>
      </c>
      <c r="G13" s="5" t="s">
        <v>1205</v>
      </c>
      <c r="H13" s="5" t="s">
        <v>1206</v>
      </c>
    </row>
    <row r="14" customFormat="false" ht="15" hidden="false" customHeight="false" outlineLevel="0" collapsed="false">
      <c r="A14" s="5" t="n">
        <v>13</v>
      </c>
      <c r="B14" s="5" t="s">
        <v>913</v>
      </c>
      <c r="C14" s="5" t="s">
        <v>1181</v>
      </c>
      <c r="D14" s="5" t="n">
        <v>22</v>
      </c>
      <c r="E14" s="5" t="n">
        <v>1</v>
      </c>
      <c r="F14" s="5" t="n">
        <v>0</v>
      </c>
      <c r="G14" s="5" t="s">
        <v>1207</v>
      </c>
      <c r="H14" s="5" t="s">
        <v>1208</v>
      </c>
    </row>
    <row r="15" customFormat="false" ht="15" hidden="false" customHeight="false" outlineLevel="0" collapsed="false">
      <c r="A15" s="5" t="n">
        <v>14</v>
      </c>
      <c r="B15" s="5" t="s">
        <v>1209</v>
      </c>
      <c r="C15" s="5" t="s">
        <v>1181</v>
      </c>
      <c r="D15" s="5" t="n">
        <v>22</v>
      </c>
      <c r="E15" s="5" t="n">
        <v>1</v>
      </c>
      <c r="F15" s="5" t="n">
        <v>0</v>
      </c>
      <c r="G15" s="5" t="s">
        <v>1210</v>
      </c>
      <c r="H15" s="5" t="s">
        <v>1211</v>
      </c>
    </row>
    <row r="16" customFormat="false" ht="15" hidden="false" customHeight="false" outlineLevel="0" collapsed="false">
      <c r="A16" s="5" t="n">
        <v>15</v>
      </c>
      <c r="B16" s="5" t="s">
        <v>1212</v>
      </c>
      <c r="C16" s="5" t="s">
        <v>1176</v>
      </c>
      <c r="D16" s="5" t="n">
        <v>12</v>
      </c>
      <c r="E16" s="5" t="n">
        <v>2</v>
      </c>
      <c r="F16" s="5" t="n">
        <v>1</v>
      </c>
      <c r="G16" s="5" t="s">
        <v>1213</v>
      </c>
      <c r="H16" s="5" t="s">
        <v>1214</v>
      </c>
    </row>
    <row r="17" customFormat="false" ht="15" hidden="false" customHeight="false" outlineLevel="0" collapsed="false">
      <c r="A17" s="5" t="n">
        <v>16</v>
      </c>
      <c r="B17" s="5" t="s">
        <v>454</v>
      </c>
      <c r="C17" s="5" t="s">
        <v>1181</v>
      </c>
      <c r="D17" s="5" t="n">
        <v>7</v>
      </c>
      <c r="E17" s="5" t="n">
        <v>3</v>
      </c>
      <c r="F17" s="5" t="n">
        <v>0</v>
      </c>
      <c r="G17" s="5" t="s">
        <v>1215</v>
      </c>
      <c r="H17" s="5" t="s">
        <v>1216</v>
      </c>
    </row>
    <row r="18" customFormat="false" ht="15" hidden="false" customHeight="false" outlineLevel="0" collapsed="false">
      <c r="A18" s="5" t="n">
        <v>17</v>
      </c>
      <c r="B18" s="5" t="s">
        <v>1217</v>
      </c>
      <c r="C18" s="5" t="s">
        <v>1181</v>
      </c>
      <c r="D18" s="5" t="n">
        <v>16</v>
      </c>
      <c r="E18" s="5" t="n">
        <v>1</v>
      </c>
      <c r="F18" s="5" t="n">
        <v>0</v>
      </c>
      <c r="G18" s="5" t="s">
        <v>1218</v>
      </c>
      <c r="H18" s="5" t="s">
        <v>1219</v>
      </c>
    </row>
    <row r="19" customFormat="false" ht="15" hidden="false" customHeight="false" outlineLevel="0" collapsed="false">
      <c r="A19" s="5" t="n">
        <v>18</v>
      </c>
      <c r="B19" s="5" t="s">
        <v>1220</v>
      </c>
      <c r="C19" s="5" t="s">
        <v>1181</v>
      </c>
      <c r="D19" s="5" t="n">
        <v>11</v>
      </c>
      <c r="E19" s="5" t="n">
        <v>2</v>
      </c>
      <c r="F19" s="5" t="n">
        <v>0</v>
      </c>
      <c r="G19" s="5" t="s">
        <v>1221</v>
      </c>
      <c r="H19" s="5" t="s">
        <v>1222</v>
      </c>
    </row>
    <row r="20" customFormat="false" ht="15" hidden="false" customHeight="false" outlineLevel="0" collapsed="false">
      <c r="A20" s="5" t="n">
        <v>19</v>
      </c>
      <c r="B20" s="5" t="s">
        <v>1223</v>
      </c>
      <c r="C20" s="5" t="s">
        <v>1181</v>
      </c>
      <c r="D20" s="5" t="n">
        <v>10</v>
      </c>
      <c r="E20" s="5" t="n">
        <v>2</v>
      </c>
      <c r="F20" s="5" t="n">
        <v>0</v>
      </c>
      <c r="G20" s="5" t="s">
        <v>1224</v>
      </c>
      <c r="H20" s="5" t="s">
        <v>1225</v>
      </c>
    </row>
    <row r="21" customFormat="false" ht="15" hidden="false" customHeight="false" outlineLevel="0" collapsed="false">
      <c r="A21" s="5" t="n">
        <v>20</v>
      </c>
      <c r="B21" s="5" t="s">
        <v>1226</v>
      </c>
      <c r="C21" s="5" t="s">
        <v>1181</v>
      </c>
      <c r="D21" s="5" t="n">
        <v>5</v>
      </c>
      <c r="E21" s="5" t="n">
        <v>3</v>
      </c>
      <c r="F21" s="5" t="n">
        <v>0</v>
      </c>
      <c r="G21" s="5" t="s">
        <v>1227</v>
      </c>
      <c r="H21" s="5" t="s">
        <v>1228</v>
      </c>
    </row>
    <row r="22" customFormat="false" ht="15" hidden="false" customHeight="false" outlineLevel="0" collapsed="false">
      <c r="A22" s="5" t="n">
        <v>21</v>
      </c>
      <c r="B22" s="5" t="s">
        <v>1229</v>
      </c>
      <c r="C22" s="5" t="s">
        <v>1176</v>
      </c>
      <c r="D22" s="5" t="n">
        <v>3</v>
      </c>
      <c r="E22" s="5" t="n">
        <v>2</v>
      </c>
      <c r="F22" s="5" t="n">
        <v>3</v>
      </c>
      <c r="G22" s="5" t="s">
        <v>1230</v>
      </c>
      <c r="H22" s="5" t="s">
        <v>1231</v>
      </c>
    </row>
    <row r="23" customFormat="false" ht="15" hidden="false" customHeight="false" outlineLevel="0" collapsed="false">
      <c r="A23" s="5" t="n">
        <v>22</v>
      </c>
      <c r="B23" s="5" t="s">
        <v>1232</v>
      </c>
      <c r="C23" s="5" t="s">
        <v>1181</v>
      </c>
      <c r="D23" s="5" t="n">
        <v>9</v>
      </c>
      <c r="E23" s="5" t="n">
        <v>2</v>
      </c>
      <c r="F23" s="5" t="n">
        <v>0</v>
      </c>
      <c r="G23" s="5" t="s">
        <v>1233</v>
      </c>
      <c r="H23" s="5" t="s">
        <v>1234</v>
      </c>
    </row>
    <row r="24" customFormat="false" ht="15" hidden="false" customHeight="false" outlineLevel="0" collapsed="false">
      <c r="A24" s="5" t="n">
        <v>23</v>
      </c>
      <c r="B24" s="5" t="s">
        <v>1235</v>
      </c>
      <c r="C24" s="5" t="s">
        <v>1181</v>
      </c>
      <c r="D24" s="5" t="n">
        <v>13</v>
      </c>
      <c r="E24" s="5" t="n">
        <v>1</v>
      </c>
      <c r="F24" s="5" t="n">
        <v>0</v>
      </c>
      <c r="G24" s="5" t="s">
        <v>1236</v>
      </c>
      <c r="H24" s="5" t="s">
        <v>1237</v>
      </c>
    </row>
    <row r="25" customFormat="false" ht="15" hidden="false" customHeight="false" outlineLevel="0" collapsed="false">
      <c r="A25" s="5" t="n">
        <v>24</v>
      </c>
      <c r="B25" s="5" t="s">
        <v>1238</v>
      </c>
      <c r="C25" s="5" t="s">
        <v>1176</v>
      </c>
      <c r="D25" s="5" t="n">
        <v>18</v>
      </c>
      <c r="E25" s="5" t="n">
        <v>0</v>
      </c>
      <c r="F25" s="5" t="n">
        <v>0</v>
      </c>
      <c r="G25" s="5" t="s">
        <v>1239</v>
      </c>
      <c r="H25" s="5" t="s">
        <v>1240</v>
      </c>
    </row>
    <row r="26" customFormat="false" ht="15" hidden="false" customHeight="false" outlineLevel="0" collapsed="false">
      <c r="A26" s="5" t="n">
        <v>25</v>
      </c>
      <c r="B26" s="5" t="s">
        <v>216</v>
      </c>
      <c r="C26" s="5" t="s">
        <v>1181</v>
      </c>
      <c r="D26" s="5" t="n">
        <v>15</v>
      </c>
      <c r="E26" s="5" t="n">
        <v>0</v>
      </c>
      <c r="F26" s="5" t="n">
        <v>1</v>
      </c>
      <c r="G26" s="5" t="s">
        <v>1241</v>
      </c>
      <c r="H26" s="5" t="s">
        <v>1242</v>
      </c>
    </row>
    <row r="27" customFormat="false" ht="15" hidden="false" customHeight="false" outlineLevel="0" collapsed="false">
      <c r="A27" s="5" t="n">
        <v>26</v>
      </c>
      <c r="B27" s="5" t="s">
        <v>1243</v>
      </c>
      <c r="C27" s="5" t="s">
        <v>1181</v>
      </c>
      <c r="D27" s="5" t="n">
        <v>11</v>
      </c>
      <c r="E27" s="5" t="n">
        <v>1</v>
      </c>
      <c r="F27" s="5" t="n">
        <v>0</v>
      </c>
      <c r="G27" s="5" t="s">
        <v>1244</v>
      </c>
      <c r="H27" s="5" t="s">
        <v>1245</v>
      </c>
    </row>
    <row r="28" customFormat="false" ht="15" hidden="false" customHeight="false" outlineLevel="0" collapsed="false">
      <c r="A28" s="5" t="n">
        <v>27</v>
      </c>
      <c r="B28" s="5" t="s">
        <v>1246</v>
      </c>
      <c r="C28" s="5" t="s">
        <v>1181</v>
      </c>
      <c r="D28" s="5" t="n">
        <v>16</v>
      </c>
      <c r="E28" s="5" t="n">
        <v>0</v>
      </c>
      <c r="F28" s="5" t="n">
        <v>0</v>
      </c>
      <c r="G28" s="5" t="s">
        <v>1247</v>
      </c>
      <c r="H28" s="5" t="s">
        <v>1248</v>
      </c>
    </row>
    <row r="29" customFormat="false" ht="15" hidden="false" customHeight="false" outlineLevel="0" collapsed="false">
      <c r="A29" s="5" t="n">
        <v>28</v>
      </c>
      <c r="B29" s="5" t="s">
        <v>1249</v>
      </c>
      <c r="C29" s="5" t="s">
        <v>1181</v>
      </c>
      <c r="D29" s="5" t="n">
        <v>16</v>
      </c>
      <c r="E29" s="5" t="n">
        <v>0</v>
      </c>
      <c r="F29" s="5" t="n">
        <v>0</v>
      </c>
      <c r="G29" s="5" t="s">
        <v>1250</v>
      </c>
      <c r="H29" s="5" t="s">
        <v>1251</v>
      </c>
    </row>
    <row r="30" customFormat="false" ht="15" hidden="false" customHeight="false" outlineLevel="0" collapsed="false">
      <c r="A30" s="5" t="n">
        <v>29</v>
      </c>
      <c r="B30" s="5" t="s">
        <v>1252</v>
      </c>
      <c r="C30" s="5" t="s">
        <v>1176</v>
      </c>
      <c r="D30" s="5" t="n">
        <v>15</v>
      </c>
      <c r="E30" s="5" t="n">
        <v>0</v>
      </c>
      <c r="F30" s="5" t="n">
        <v>0</v>
      </c>
      <c r="G30" s="5" t="s">
        <v>1253</v>
      </c>
      <c r="H30" s="5" t="s">
        <v>1254</v>
      </c>
    </row>
    <row r="31" customFormat="false" ht="15" hidden="false" customHeight="false" outlineLevel="0" collapsed="false">
      <c r="A31" s="5" t="n">
        <v>30</v>
      </c>
      <c r="B31" s="5" t="s">
        <v>1255</v>
      </c>
      <c r="C31" s="5" t="s">
        <v>1181</v>
      </c>
      <c r="D31" s="5" t="n">
        <v>15</v>
      </c>
      <c r="E31" s="5" t="n">
        <v>0</v>
      </c>
      <c r="F31" s="5" t="n">
        <v>0</v>
      </c>
      <c r="G31" s="5" t="s">
        <v>1256</v>
      </c>
      <c r="H31" s="5" t="s">
        <v>1257</v>
      </c>
    </row>
    <row r="32" customFormat="false" ht="15" hidden="false" customHeight="false" outlineLevel="0" collapsed="false">
      <c r="A32" s="5" t="n">
        <v>31</v>
      </c>
      <c r="B32" s="5" t="s">
        <v>849</v>
      </c>
      <c r="C32" s="5" t="s">
        <v>1181</v>
      </c>
      <c r="D32" s="5" t="n">
        <v>15</v>
      </c>
      <c r="E32" s="5" t="n">
        <v>0</v>
      </c>
      <c r="F32" s="5" t="n">
        <v>0</v>
      </c>
      <c r="G32" s="5" t="s">
        <v>1258</v>
      </c>
      <c r="H32" s="5" t="s">
        <v>1259</v>
      </c>
    </row>
    <row r="33" customFormat="false" ht="15" hidden="false" customHeight="false" outlineLevel="0" collapsed="false">
      <c r="A33" s="5" t="n">
        <v>32</v>
      </c>
      <c r="B33" s="5" t="s">
        <v>1260</v>
      </c>
      <c r="C33" s="5" t="s">
        <v>1181</v>
      </c>
      <c r="D33" s="5" t="n">
        <v>14</v>
      </c>
      <c r="E33" s="5" t="n">
        <v>0</v>
      </c>
      <c r="F33" s="5" t="n">
        <v>0</v>
      </c>
      <c r="G33" s="5" t="s">
        <v>1261</v>
      </c>
      <c r="H33" s="5" t="s">
        <v>1262</v>
      </c>
    </row>
    <row r="34" customFormat="false" ht="15" hidden="false" customHeight="false" outlineLevel="0" collapsed="false">
      <c r="A34" s="5" t="n">
        <v>33</v>
      </c>
      <c r="B34" s="5" t="s">
        <v>1263</v>
      </c>
      <c r="C34" s="5" t="s">
        <v>1181</v>
      </c>
      <c r="D34" s="5" t="n">
        <v>4</v>
      </c>
      <c r="E34" s="5" t="n">
        <v>2</v>
      </c>
      <c r="F34" s="5" t="n">
        <v>0</v>
      </c>
      <c r="G34" s="5" t="s">
        <v>1264</v>
      </c>
      <c r="H34" s="5" t="s">
        <v>1265</v>
      </c>
    </row>
    <row r="35" customFormat="false" ht="15" hidden="false" customHeight="false" outlineLevel="0" collapsed="false">
      <c r="A35" s="5" t="n">
        <v>34</v>
      </c>
      <c r="B35" s="5" t="s">
        <v>1266</v>
      </c>
      <c r="C35" s="5" t="s">
        <v>1181</v>
      </c>
      <c r="D35" s="5" t="n">
        <v>13</v>
      </c>
      <c r="E35" s="5" t="n">
        <v>0</v>
      </c>
      <c r="F35" s="5" t="n">
        <v>0</v>
      </c>
      <c r="G35" s="5" t="s">
        <v>1267</v>
      </c>
      <c r="H35" s="5" t="s">
        <v>1222</v>
      </c>
    </row>
    <row r="36" customFormat="false" ht="15" hidden="false" customHeight="false" outlineLevel="0" collapsed="false">
      <c r="A36" s="5" t="n">
        <v>35</v>
      </c>
      <c r="B36" s="5" t="s">
        <v>1268</v>
      </c>
      <c r="C36" s="5" t="s">
        <v>1176</v>
      </c>
      <c r="D36" s="5" t="n">
        <v>3</v>
      </c>
      <c r="E36" s="5" t="n">
        <v>2</v>
      </c>
      <c r="F36" s="5" t="n">
        <v>0</v>
      </c>
      <c r="G36" s="5" t="s">
        <v>1269</v>
      </c>
      <c r="H36" s="5" t="s">
        <v>1270</v>
      </c>
    </row>
    <row r="37" customFormat="false" ht="15" hidden="false" customHeight="false" outlineLevel="0" collapsed="false">
      <c r="A37" s="5" t="n">
        <v>36</v>
      </c>
      <c r="B37" s="5" t="s">
        <v>1271</v>
      </c>
      <c r="C37" s="5" t="s">
        <v>1181</v>
      </c>
      <c r="D37" s="5" t="n">
        <v>13</v>
      </c>
      <c r="E37" s="5" t="n">
        <v>0</v>
      </c>
      <c r="F37" s="5" t="n">
        <v>0</v>
      </c>
      <c r="G37" s="5" t="s">
        <v>1272</v>
      </c>
      <c r="H37" s="5" t="s">
        <v>1273</v>
      </c>
    </row>
    <row r="38" customFormat="false" ht="15" hidden="false" customHeight="false" outlineLevel="0" collapsed="false">
      <c r="A38" s="5" t="n">
        <v>37</v>
      </c>
      <c r="B38" s="5" t="s">
        <v>1274</v>
      </c>
      <c r="C38" s="5" t="s">
        <v>1181</v>
      </c>
      <c r="D38" s="5" t="n">
        <v>13</v>
      </c>
      <c r="E38" s="5" t="n">
        <v>0</v>
      </c>
      <c r="F38" s="5" t="n">
        <v>0</v>
      </c>
      <c r="G38" s="5" t="s">
        <v>1275</v>
      </c>
      <c r="H38" s="5" t="s">
        <v>1192</v>
      </c>
    </row>
    <row r="39" customFormat="false" ht="15" hidden="false" customHeight="false" outlineLevel="0" collapsed="false">
      <c r="A39" s="5" t="n">
        <v>38</v>
      </c>
      <c r="B39" s="5" t="s">
        <v>1276</v>
      </c>
      <c r="C39" s="5" t="s">
        <v>1181</v>
      </c>
      <c r="D39" s="5" t="n">
        <v>13</v>
      </c>
      <c r="E39" s="5" t="n">
        <v>0</v>
      </c>
      <c r="F39" s="5" t="n">
        <v>0</v>
      </c>
      <c r="G39" s="5" t="s">
        <v>1277</v>
      </c>
      <c r="H39" s="5" t="s">
        <v>1278</v>
      </c>
    </row>
    <row r="40" customFormat="false" ht="15" hidden="false" customHeight="false" outlineLevel="0" collapsed="false">
      <c r="A40" s="5" t="n">
        <v>39</v>
      </c>
      <c r="B40" s="5" t="s">
        <v>1279</v>
      </c>
      <c r="C40" s="5" t="s">
        <v>1181</v>
      </c>
      <c r="D40" s="5" t="n">
        <v>12</v>
      </c>
      <c r="E40" s="5" t="n">
        <v>0</v>
      </c>
      <c r="F40" s="5" t="n">
        <v>0</v>
      </c>
      <c r="G40" s="5" t="s">
        <v>1280</v>
      </c>
      <c r="H40" s="5" t="s">
        <v>1273</v>
      </c>
    </row>
    <row r="41" customFormat="false" ht="15" hidden="false" customHeight="false" outlineLevel="0" collapsed="false">
      <c r="A41" s="5" t="n">
        <v>40</v>
      </c>
      <c r="B41" s="5" t="s">
        <v>242</v>
      </c>
      <c r="C41" s="5" t="s">
        <v>1181</v>
      </c>
      <c r="D41" s="5" t="n">
        <v>12</v>
      </c>
      <c r="E41" s="5" t="n">
        <v>0</v>
      </c>
      <c r="F41" s="5" t="n">
        <v>0</v>
      </c>
      <c r="G41" s="5" t="s">
        <v>1281</v>
      </c>
      <c r="H41" s="5" t="s">
        <v>1282</v>
      </c>
    </row>
    <row r="42" customFormat="false" ht="15" hidden="false" customHeight="false" outlineLevel="0" collapsed="false">
      <c r="A42" s="5" t="n">
        <v>41</v>
      </c>
      <c r="B42" s="5" t="s">
        <v>113</v>
      </c>
      <c r="C42" s="5" t="s">
        <v>1181</v>
      </c>
      <c r="D42" s="5" t="n">
        <v>2</v>
      </c>
      <c r="E42" s="5" t="n">
        <v>2</v>
      </c>
      <c r="F42" s="5" t="n">
        <v>0</v>
      </c>
      <c r="G42" s="5" t="s">
        <v>1283</v>
      </c>
      <c r="H42" s="5" t="s">
        <v>1284</v>
      </c>
    </row>
    <row r="43" customFormat="false" ht="15" hidden="false" customHeight="false" outlineLevel="0" collapsed="false">
      <c r="A43" s="5" t="n">
        <v>42</v>
      </c>
      <c r="B43" s="5" t="s">
        <v>1285</v>
      </c>
      <c r="C43" s="5" t="s">
        <v>1181</v>
      </c>
      <c r="D43" s="5" t="n">
        <v>12</v>
      </c>
      <c r="E43" s="5" t="n">
        <v>0</v>
      </c>
      <c r="F43" s="5" t="n">
        <v>0</v>
      </c>
      <c r="G43" s="5" t="s">
        <v>1286</v>
      </c>
      <c r="H43" s="5" t="s">
        <v>1287</v>
      </c>
    </row>
    <row r="44" customFormat="false" ht="15" hidden="false" customHeight="false" outlineLevel="0" collapsed="false">
      <c r="A44" s="5" t="n">
        <v>43</v>
      </c>
      <c r="B44" s="5" t="s">
        <v>1288</v>
      </c>
      <c r="C44" s="5" t="s">
        <v>1181</v>
      </c>
      <c r="D44" s="5" t="n">
        <v>12</v>
      </c>
      <c r="E44" s="5" t="n">
        <v>0</v>
      </c>
      <c r="F44" s="5" t="n">
        <v>0</v>
      </c>
      <c r="G44" s="5" t="s">
        <v>1289</v>
      </c>
      <c r="H44" s="5" t="s">
        <v>1287</v>
      </c>
    </row>
    <row r="45" customFormat="false" ht="15" hidden="false" customHeight="false" outlineLevel="0" collapsed="false">
      <c r="A45" s="5" t="n">
        <v>44</v>
      </c>
      <c r="B45" s="5" t="s">
        <v>1290</v>
      </c>
      <c r="C45" s="5" t="s">
        <v>1181</v>
      </c>
      <c r="D45" s="5" t="n">
        <v>6</v>
      </c>
      <c r="E45" s="5" t="n">
        <v>1</v>
      </c>
      <c r="F45" s="5" t="n">
        <v>0</v>
      </c>
      <c r="G45" s="5" t="s">
        <v>1291</v>
      </c>
      <c r="H45" s="5" t="s">
        <v>1292</v>
      </c>
    </row>
    <row r="46" customFormat="false" ht="15" hidden="false" customHeight="false" outlineLevel="0" collapsed="false">
      <c r="A46" s="5" t="n">
        <v>45</v>
      </c>
      <c r="B46" s="5" t="s">
        <v>1293</v>
      </c>
      <c r="C46" s="5" t="s">
        <v>1181</v>
      </c>
      <c r="D46" s="5" t="n">
        <v>11</v>
      </c>
      <c r="E46" s="5" t="n">
        <v>0</v>
      </c>
      <c r="F46" s="5" t="n">
        <v>0</v>
      </c>
      <c r="G46" s="5" t="s">
        <v>1294</v>
      </c>
      <c r="H46" s="5" t="s">
        <v>1295</v>
      </c>
    </row>
    <row r="47" customFormat="false" ht="15" hidden="false" customHeight="false" outlineLevel="0" collapsed="false">
      <c r="A47" s="5" t="n">
        <v>46</v>
      </c>
      <c r="B47" s="5" t="s">
        <v>1296</v>
      </c>
      <c r="C47" s="5" t="s">
        <v>1181</v>
      </c>
      <c r="D47" s="5" t="n">
        <v>11</v>
      </c>
      <c r="E47" s="5" t="n">
        <v>0</v>
      </c>
      <c r="F47" s="5" t="n">
        <v>0</v>
      </c>
      <c r="G47" s="5" t="s">
        <v>1297</v>
      </c>
      <c r="H47" s="5" t="s">
        <v>1298</v>
      </c>
    </row>
    <row r="48" customFormat="false" ht="15" hidden="false" customHeight="false" outlineLevel="0" collapsed="false">
      <c r="A48" s="5" t="n">
        <v>47</v>
      </c>
      <c r="B48" s="5" t="s">
        <v>1299</v>
      </c>
      <c r="C48" s="5" t="s">
        <v>1181</v>
      </c>
      <c r="D48" s="5" t="n">
        <v>6</v>
      </c>
      <c r="E48" s="5" t="n">
        <v>1</v>
      </c>
      <c r="F48" s="5" t="n">
        <v>0</v>
      </c>
      <c r="G48" s="5" t="s">
        <v>1300</v>
      </c>
      <c r="H48" s="5" t="s">
        <v>1301</v>
      </c>
    </row>
    <row r="49" customFormat="false" ht="15" hidden="false" customHeight="false" outlineLevel="0" collapsed="false">
      <c r="A49" s="5" t="n">
        <v>48</v>
      </c>
      <c r="B49" s="5" t="s">
        <v>1302</v>
      </c>
      <c r="C49" s="5" t="s">
        <v>1176</v>
      </c>
      <c r="D49" s="5" t="n">
        <v>11</v>
      </c>
      <c r="E49" s="5" t="n">
        <v>0</v>
      </c>
      <c r="F49" s="5" t="n">
        <v>0</v>
      </c>
      <c r="G49" s="5" t="s">
        <v>1303</v>
      </c>
      <c r="H49" s="5" t="s">
        <v>1304</v>
      </c>
    </row>
    <row r="50" customFormat="false" ht="15" hidden="false" customHeight="false" outlineLevel="0" collapsed="false">
      <c r="A50" s="5" t="n">
        <v>49</v>
      </c>
      <c r="B50" s="5" t="s">
        <v>1305</v>
      </c>
      <c r="C50" s="5" t="s">
        <v>1181</v>
      </c>
      <c r="D50" s="5" t="n">
        <v>5</v>
      </c>
      <c r="E50" s="5" t="n">
        <v>1</v>
      </c>
      <c r="F50" s="5" t="n">
        <v>0</v>
      </c>
      <c r="G50" s="5" t="s">
        <v>1306</v>
      </c>
      <c r="H50" s="5" t="s">
        <v>1307</v>
      </c>
    </row>
    <row r="51" customFormat="false" ht="15" hidden="false" customHeight="false" outlineLevel="0" collapsed="false">
      <c r="A51" s="5" t="n">
        <v>50</v>
      </c>
      <c r="B51" s="5" t="s">
        <v>1308</v>
      </c>
      <c r="C51" s="5" t="s">
        <v>1181</v>
      </c>
      <c r="D51" s="5" t="n">
        <v>10</v>
      </c>
      <c r="E51" s="5" t="n">
        <v>0</v>
      </c>
      <c r="F51" s="5" t="n">
        <v>0</v>
      </c>
      <c r="G51" s="5" t="s">
        <v>1309</v>
      </c>
      <c r="H51" s="5" t="s">
        <v>1310</v>
      </c>
    </row>
    <row r="52" customFormat="false" ht="15" hidden="false" customHeight="false" outlineLevel="0" collapsed="false">
      <c r="A52" s="5" t="n">
        <v>51</v>
      </c>
      <c r="B52" s="5" t="s">
        <v>1311</v>
      </c>
      <c r="C52" s="5" t="s">
        <v>1181</v>
      </c>
      <c r="D52" s="5" t="n">
        <v>5</v>
      </c>
      <c r="E52" s="5" t="n">
        <v>1</v>
      </c>
      <c r="F52" s="5" t="n">
        <v>0</v>
      </c>
      <c r="G52" s="5" t="s">
        <v>1312</v>
      </c>
      <c r="H52" s="5" t="s">
        <v>1313</v>
      </c>
    </row>
    <row r="53" customFormat="false" ht="15" hidden="false" customHeight="false" outlineLevel="0" collapsed="false">
      <c r="A53" s="5" t="n">
        <v>52</v>
      </c>
      <c r="B53" s="5" t="s">
        <v>1314</v>
      </c>
      <c r="C53" s="5" t="s">
        <v>1176</v>
      </c>
      <c r="D53" s="5" t="n">
        <v>10</v>
      </c>
      <c r="E53" s="5" t="n">
        <v>0</v>
      </c>
      <c r="F53" s="5" t="n">
        <v>0</v>
      </c>
      <c r="G53" s="5" t="s">
        <v>1315</v>
      </c>
      <c r="H53" s="5" t="s">
        <v>1316</v>
      </c>
    </row>
    <row r="54" customFormat="false" ht="15" hidden="false" customHeight="false" outlineLevel="0" collapsed="false">
      <c r="A54" s="5" t="n">
        <v>53</v>
      </c>
      <c r="B54" s="5" t="s">
        <v>1317</v>
      </c>
      <c r="C54" s="5" t="s">
        <v>1181</v>
      </c>
      <c r="D54" s="5" t="n">
        <v>5</v>
      </c>
      <c r="E54" s="5" t="n">
        <v>1</v>
      </c>
      <c r="F54" s="5" t="n">
        <v>0</v>
      </c>
      <c r="G54" s="5" t="s">
        <v>1318</v>
      </c>
      <c r="H54" s="5" t="s">
        <v>1319</v>
      </c>
    </row>
    <row r="55" customFormat="false" ht="15" hidden="false" customHeight="false" outlineLevel="0" collapsed="false">
      <c r="A55" s="5" t="n">
        <v>54</v>
      </c>
      <c r="B55" s="5" t="s">
        <v>1320</v>
      </c>
      <c r="C55" s="5" t="s">
        <v>1181</v>
      </c>
      <c r="D55" s="5" t="n">
        <v>10</v>
      </c>
      <c r="E55" s="5" t="n">
        <v>0</v>
      </c>
      <c r="F55" s="5" t="n">
        <v>0</v>
      </c>
      <c r="G55" s="5" t="s">
        <v>1321</v>
      </c>
      <c r="H55" s="5" t="s">
        <v>1322</v>
      </c>
    </row>
    <row r="56" customFormat="false" ht="15" hidden="false" customHeight="false" outlineLevel="0" collapsed="false">
      <c r="A56" s="5" t="n">
        <v>55</v>
      </c>
      <c r="B56" s="5" t="s">
        <v>346</v>
      </c>
      <c r="C56" s="5" t="s">
        <v>1181</v>
      </c>
      <c r="D56" s="5" t="n">
        <v>9</v>
      </c>
      <c r="E56" s="5" t="n">
        <v>0</v>
      </c>
      <c r="F56" s="5" t="n">
        <v>0</v>
      </c>
      <c r="G56" s="5" t="s">
        <v>1323</v>
      </c>
      <c r="H56" s="5" t="s">
        <v>1324</v>
      </c>
    </row>
    <row r="57" customFormat="false" ht="15" hidden="false" customHeight="false" outlineLevel="0" collapsed="false">
      <c r="A57" s="5" t="n">
        <v>56</v>
      </c>
      <c r="B57" s="5" t="s">
        <v>1325</v>
      </c>
      <c r="C57" s="5" t="s">
        <v>1181</v>
      </c>
      <c r="D57" s="5" t="n">
        <v>4</v>
      </c>
      <c r="E57" s="5" t="n">
        <v>1</v>
      </c>
      <c r="F57" s="5" t="n">
        <v>0</v>
      </c>
      <c r="G57" s="5" t="s">
        <v>1326</v>
      </c>
      <c r="H57" s="5" t="s">
        <v>1327</v>
      </c>
    </row>
    <row r="58" customFormat="false" ht="15" hidden="false" customHeight="false" outlineLevel="0" collapsed="false">
      <c r="A58" s="5" t="n">
        <v>57</v>
      </c>
      <c r="B58" s="5" t="s">
        <v>1328</v>
      </c>
      <c r="C58" s="5" t="s">
        <v>1181</v>
      </c>
      <c r="D58" s="5" t="n">
        <v>9</v>
      </c>
      <c r="E58" s="5" t="n">
        <v>0</v>
      </c>
      <c r="F58" s="5" t="n">
        <v>0</v>
      </c>
      <c r="G58" s="5" t="s">
        <v>1329</v>
      </c>
      <c r="H58" s="5" t="s">
        <v>1248</v>
      </c>
    </row>
    <row r="59" customFormat="false" ht="15" hidden="false" customHeight="false" outlineLevel="0" collapsed="false">
      <c r="A59" s="5" t="n">
        <v>58</v>
      </c>
      <c r="B59" s="5" t="s">
        <v>1330</v>
      </c>
      <c r="C59" s="5" t="s">
        <v>1181</v>
      </c>
      <c r="D59" s="5" t="n">
        <v>4</v>
      </c>
      <c r="E59" s="5" t="n">
        <v>1</v>
      </c>
      <c r="F59" s="5" t="n">
        <v>0</v>
      </c>
      <c r="G59" s="5" t="s">
        <v>1331</v>
      </c>
      <c r="H59" s="5" t="s">
        <v>1332</v>
      </c>
    </row>
    <row r="60" customFormat="false" ht="15" hidden="false" customHeight="false" outlineLevel="0" collapsed="false">
      <c r="A60" s="5" t="n">
        <v>59</v>
      </c>
      <c r="B60" s="5" t="s">
        <v>1333</v>
      </c>
      <c r="C60" s="5" t="s">
        <v>1181</v>
      </c>
      <c r="D60" s="5" t="n">
        <v>9</v>
      </c>
      <c r="E60" s="5" t="n">
        <v>0</v>
      </c>
      <c r="F60" s="5" t="n">
        <v>0</v>
      </c>
      <c r="G60" s="5" t="s">
        <v>1334</v>
      </c>
      <c r="H60" s="5" t="s">
        <v>1248</v>
      </c>
    </row>
    <row r="61" customFormat="false" ht="15" hidden="false" customHeight="false" outlineLevel="0" collapsed="false">
      <c r="A61" s="5" t="n">
        <v>60</v>
      </c>
      <c r="B61" s="5" t="s">
        <v>1335</v>
      </c>
      <c r="C61" s="5" t="s">
        <v>1181</v>
      </c>
      <c r="D61" s="5" t="n">
        <v>9</v>
      </c>
      <c r="E61" s="5" t="n">
        <v>0</v>
      </c>
      <c r="F61" s="5" t="n">
        <v>0</v>
      </c>
      <c r="G61" s="5" t="s">
        <v>1336</v>
      </c>
      <c r="H61" s="5" t="s">
        <v>1337</v>
      </c>
    </row>
    <row r="62" customFormat="false" ht="15" hidden="false" customHeight="false" outlineLevel="0" collapsed="false">
      <c r="A62" s="5" t="n">
        <v>61</v>
      </c>
      <c r="B62" s="5" t="s">
        <v>1338</v>
      </c>
      <c r="C62" s="5" t="s">
        <v>1181</v>
      </c>
      <c r="D62" s="5" t="n">
        <v>9</v>
      </c>
      <c r="E62" s="5" t="n">
        <v>0</v>
      </c>
      <c r="F62" s="5" t="n">
        <v>0</v>
      </c>
      <c r="G62" s="5" t="s">
        <v>1339</v>
      </c>
      <c r="H62" s="5" t="s">
        <v>1340</v>
      </c>
    </row>
    <row r="63" customFormat="false" ht="15" hidden="false" customHeight="false" outlineLevel="0" collapsed="false">
      <c r="A63" s="5" t="n">
        <v>62</v>
      </c>
      <c r="B63" s="5" t="s">
        <v>149</v>
      </c>
      <c r="C63" s="5" t="s">
        <v>1181</v>
      </c>
      <c r="D63" s="5" t="n">
        <v>2</v>
      </c>
      <c r="E63" s="5" t="n">
        <v>1</v>
      </c>
      <c r="F63" s="5" t="n">
        <v>1</v>
      </c>
      <c r="G63" s="5" t="s">
        <v>1341</v>
      </c>
      <c r="H63" s="5" t="s">
        <v>1342</v>
      </c>
    </row>
    <row r="64" customFormat="false" ht="15" hidden="false" customHeight="false" outlineLevel="0" collapsed="false">
      <c r="A64" s="5" t="n">
        <v>63</v>
      </c>
      <c r="B64" s="5" t="s">
        <v>1343</v>
      </c>
      <c r="C64" s="5" t="s">
        <v>1181</v>
      </c>
      <c r="D64" s="5" t="n">
        <v>9</v>
      </c>
      <c r="E64" s="5" t="n">
        <v>0</v>
      </c>
      <c r="F64" s="5" t="n">
        <v>0</v>
      </c>
      <c r="G64" s="5" t="s">
        <v>1344</v>
      </c>
      <c r="H64" s="5" t="s">
        <v>1345</v>
      </c>
    </row>
    <row r="65" customFormat="false" ht="15" hidden="false" customHeight="false" outlineLevel="0" collapsed="false">
      <c r="A65" s="5" t="n">
        <v>64</v>
      </c>
      <c r="B65" s="5" t="s">
        <v>459</v>
      </c>
      <c r="C65" s="5" t="s">
        <v>1181</v>
      </c>
      <c r="D65" s="5" t="n">
        <v>4</v>
      </c>
      <c r="E65" s="5" t="n">
        <v>1</v>
      </c>
      <c r="F65" s="5" t="n">
        <v>0</v>
      </c>
      <c r="G65" s="5" t="s">
        <v>1346</v>
      </c>
      <c r="H65" s="5" t="s">
        <v>1347</v>
      </c>
    </row>
    <row r="66" customFormat="false" ht="15" hidden="false" customHeight="false" outlineLevel="0" collapsed="false">
      <c r="A66" s="5" t="n">
        <v>65</v>
      </c>
      <c r="B66" s="5" t="s">
        <v>1348</v>
      </c>
      <c r="C66" s="5" t="s">
        <v>1176</v>
      </c>
      <c r="D66" s="5" t="n">
        <v>1</v>
      </c>
      <c r="E66" s="5" t="n">
        <v>1</v>
      </c>
      <c r="F66" s="5" t="n">
        <v>1</v>
      </c>
      <c r="G66" s="5" t="s">
        <v>1349</v>
      </c>
      <c r="H66" s="5" t="s">
        <v>1057</v>
      </c>
    </row>
    <row r="67" customFormat="false" ht="15" hidden="false" customHeight="false" outlineLevel="0" collapsed="false">
      <c r="A67" s="5" t="n">
        <v>66</v>
      </c>
      <c r="B67" s="5" t="s">
        <v>1350</v>
      </c>
      <c r="C67" s="5" t="s">
        <v>1176</v>
      </c>
      <c r="D67" s="5" t="n">
        <v>1</v>
      </c>
      <c r="E67" s="5" t="n">
        <v>1</v>
      </c>
      <c r="F67" s="5" t="n">
        <v>1</v>
      </c>
      <c r="G67" s="5" t="s">
        <v>1351</v>
      </c>
      <c r="H67" s="5" t="s">
        <v>836</v>
      </c>
    </row>
    <row r="68" customFormat="false" ht="15" hidden="false" customHeight="false" outlineLevel="0" collapsed="false">
      <c r="A68" s="5" t="n">
        <v>67</v>
      </c>
      <c r="B68" s="5" t="s">
        <v>1352</v>
      </c>
      <c r="C68" s="5" t="s">
        <v>1181</v>
      </c>
      <c r="D68" s="5" t="n">
        <v>3</v>
      </c>
      <c r="E68" s="5" t="n">
        <v>1</v>
      </c>
      <c r="F68" s="5" t="n">
        <v>0</v>
      </c>
      <c r="G68" s="5" t="s">
        <v>1353</v>
      </c>
      <c r="H68" s="5" t="s">
        <v>1354</v>
      </c>
    </row>
    <row r="69" customFormat="false" ht="15" hidden="false" customHeight="false" outlineLevel="0" collapsed="false">
      <c r="A69" s="5" t="n">
        <v>68</v>
      </c>
      <c r="B69" s="5" t="s">
        <v>1355</v>
      </c>
      <c r="C69" s="5" t="s">
        <v>1176</v>
      </c>
      <c r="D69" s="5" t="n">
        <v>1</v>
      </c>
      <c r="E69" s="5" t="n">
        <v>1</v>
      </c>
      <c r="F69" s="5" t="n">
        <v>1</v>
      </c>
      <c r="G69" s="5" t="s">
        <v>1356</v>
      </c>
      <c r="H69" s="5" t="s">
        <v>254</v>
      </c>
    </row>
    <row r="70" customFormat="false" ht="15" hidden="false" customHeight="false" outlineLevel="0" collapsed="false">
      <c r="A70" s="5" t="n">
        <v>69</v>
      </c>
      <c r="B70" s="5" t="s">
        <v>1357</v>
      </c>
      <c r="C70" s="5" t="s">
        <v>1176</v>
      </c>
      <c r="D70" s="5" t="n">
        <v>8</v>
      </c>
      <c r="E70" s="5" t="n">
        <v>0</v>
      </c>
      <c r="F70" s="5" t="n">
        <v>0</v>
      </c>
      <c r="G70" s="5" t="s">
        <v>1358</v>
      </c>
      <c r="H70" s="5" t="s">
        <v>1359</v>
      </c>
    </row>
    <row r="71" customFormat="false" ht="15" hidden="false" customHeight="false" outlineLevel="0" collapsed="false">
      <c r="A71" s="5" t="n">
        <v>70</v>
      </c>
      <c r="B71" s="5" t="s">
        <v>1360</v>
      </c>
      <c r="C71" s="5" t="s">
        <v>1176</v>
      </c>
      <c r="D71" s="5" t="n">
        <v>1</v>
      </c>
      <c r="E71" s="5" t="n">
        <v>1</v>
      </c>
      <c r="F71" s="5" t="n">
        <v>1</v>
      </c>
      <c r="G71" s="5" t="s">
        <v>1361</v>
      </c>
      <c r="H71" s="5" t="s">
        <v>538</v>
      </c>
    </row>
    <row r="72" customFormat="false" ht="15" hidden="false" customHeight="false" outlineLevel="0" collapsed="false">
      <c r="A72" s="5" t="n">
        <v>71</v>
      </c>
      <c r="B72" s="5" t="s">
        <v>1362</v>
      </c>
      <c r="C72" s="5" t="s">
        <v>1181</v>
      </c>
      <c r="D72" s="5" t="n">
        <v>8</v>
      </c>
      <c r="E72" s="5" t="n">
        <v>0</v>
      </c>
      <c r="F72" s="5" t="n">
        <v>0</v>
      </c>
      <c r="G72" s="5" t="s">
        <v>1363</v>
      </c>
      <c r="H72" s="5" t="s">
        <v>1364</v>
      </c>
    </row>
    <row r="73" customFormat="false" ht="15" hidden="false" customHeight="false" outlineLevel="0" collapsed="false">
      <c r="A73" s="5" t="n">
        <v>72</v>
      </c>
      <c r="B73" s="5" t="s">
        <v>1365</v>
      </c>
      <c r="C73" s="5" t="s">
        <v>1181</v>
      </c>
      <c r="D73" s="5" t="n">
        <v>8</v>
      </c>
      <c r="E73" s="5" t="n">
        <v>0</v>
      </c>
      <c r="F73" s="5" t="n">
        <v>0</v>
      </c>
      <c r="G73" s="5" t="s">
        <v>1366</v>
      </c>
      <c r="H73" s="5" t="s">
        <v>1367</v>
      </c>
    </row>
    <row r="74" customFormat="false" ht="15" hidden="false" customHeight="false" outlineLevel="0" collapsed="false">
      <c r="A74" s="5" t="n">
        <v>73</v>
      </c>
      <c r="B74" s="5" t="s">
        <v>1368</v>
      </c>
      <c r="C74" s="5" t="s">
        <v>1181</v>
      </c>
      <c r="D74" s="5" t="n">
        <v>8</v>
      </c>
      <c r="E74" s="5" t="n">
        <v>0</v>
      </c>
      <c r="F74" s="5" t="n">
        <v>0</v>
      </c>
      <c r="G74" s="5" t="s">
        <v>1369</v>
      </c>
      <c r="H74" s="5" t="s">
        <v>1370</v>
      </c>
    </row>
    <row r="75" customFormat="false" ht="15" hidden="false" customHeight="false" outlineLevel="0" collapsed="false">
      <c r="A75" s="5" t="n">
        <v>74</v>
      </c>
      <c r="B75" s="5" t="s">
        <v>901</v>
      </c>
      <c r="C75" s="5" t="s">
        <v>1181</v>
      </c>
      <c r="D75" s="5" t="n">
        <v>8</v>
      </c>
      <c r="E75" s="5" t="n">
        <v>0</v>
      </c>
      <c r="F75" s="5" t="n">
        <v>0</v>
      </c>
      <c r="G75" s="5" t="s">
        <v>1371</v>
      </c>
      <c r="H75" s="5" t="s">
        <v>1372</v>
      </c>
    </row>
    <row r="76" customFormat="false" ht="15" hidden="false" customHeight="false" outlineLevel="0" collapsed="false">
      <c r="A76" s="5" t="n">
        <v>75</v>
      </c>
      <c r="B76" s="5" t="s">
        <v>571</v>
      </c>
      <c r="C76" s="5" t="s">
        <v>1181</v>
      </c>
      <c r="D76" s="5" t="n">
        <v>8</v>
      </c>
      <c r="E76" s="5" t="n">
        <v>0</v>
      </c>
      <c r="F76" s="5" t="n">
        <v>0</v>
      </c>
      <c r="G76" s="5" t="s">
        <v>1373</v>
      </c>
      <c r="H76" s="5" t="s">
        <v>1374</v>
      </c>
    </row>
    <row r="77" customFormat="false" ht="15" hidden="false" customHeight="false" outlineLevel="0" collapsed="false">
      <c r="A77" s="5" t="n">
        <v>76</v>
      </c>
      <c r="B77" s="5" t="s">
        <v>1375</v>
      </c>
      <c r="C77" s="5" t="s">
        <v>1181</v>
      </c>
      <c r="D77" s="5" t="n">
        <v>1</v>
      </c>
      <c r="E77" s="5" t="n">
        <v>1</v>
      </c>
      <c r="F77" s="5" t="n">
        <v>1</v>
      </c>
      <c r="G77" s="5" t="s">
        <v>1376</v>
      </c>
      <c r="H77" s="5" t="s">
        <v>1120</v>
      </c>
    </row>
    <row r="78" customFormat="false" ht="15" hidden="false" customHeight="false" outlineLevel="0" collapsed="false">
      <c r="A78" s="5" t="n">
        <v>77</v>
      </c>
      <c r="B78" s="5" t="s">
        <v>1377</v>
      </c>
      <c r="C78" s="5" t="s">
        <v>1176</v>
      </c>
      <c r="D78" s="5" t="n">
        <v>1</v>
      </c>
      <c r="E78" s="5" t="n">
        <v>1</v>
      </c>
      <c r="F78" s="5" t="n">
        <v>1</v>
      </c>
      <c r="G78" s="5" t="s">
        <v>1378</v>
      </c>
      <c r="H78" s="5" t="s">
        <v>546</v>
      </c>
    </row>
    <row r="79" customFormat="false" ht="15" hidden="false" customHeight="false" outlineLevel="0" collapsed="false">
      <c r="A79" s="5" t="n">
        <v>78</v>
      </c>
      <c r="B79" s="5" t="s">
        <v>1379</v>
      </c>
      <c r="C79" s="5" t="s">
        <v>1181</v>
      </c>
      <c r="D79" s="5" t="n">
        <v>8</v>
      </c>
      <c r="E79" s="5" t="n">
        <v>0</v>
      </c>
      <c r="F79" s="5" t="n">
        <v>0</v>
      </c>
      <c r="G79" s="5" t="s">
        <v>1380</v>
      </c>
      <c r="H79" s="5" t="s">
        <v>1381</v>
      </c>
    </row>
    <row r="80" customFormat="false" ht="15" hidden="false" customHeight="false" outlineLevel="0" collapsed="false">
      <c r="A80" s="5" t="n">
        <v>79</v>
      </c>
      <c r="B80" s="5" t="s">
        <v>1382</v>
      </c>
      <c r="C80" s="5" t="s">
        <v>1181</v>
      </c>
      <c r="D80" s="5" t="n">
        <v>8</v>
      </c>
      <c r="E80" s="5" t="n">
        <v>0</v>
      </c>
      <c r="F80" s="5" t="n">
        <v>0</v>
      </c>
      <c r="G80" s="5" t="s">
        <v>1383</v>
      </c>
      <c r="H80" s="5" t="s">
        <v>1248</v>
      </c>
    </row>
    <row r="81" customFormat="false" ht="15" hidden="false" customHeight="false" outlineLevel="0" collapsed="false">
      <c r="A81" s="5" t="n">
        <v>80</v>
      </c>
      <c r="B81" s="5" t="s">
        <v>1384</v>
      </c>
      <c r="C81" s="5" t="s">
        <v>1181</v>
      </c>
      <c r="D81" s="5" t="n">
        <v>3</v>
      </c>
      <c r="E81" s="5" t="n">
        <v>1</v>
      </c>
      <c r="F81" s="5" t="n">
        <v>0</v>
      </c>
      <c r="G81" s="5" t="s">
        <v>1385</v>
      </c>
      <c r="H81" s="5" t="s">
        <v>1386</v>
      </c>
    </row>
    <row r="82" customFormat="false" ht="15" hidden="false" customHeight="false" outlineLevel="0" collapsed="false">
      <c r="A82" s="5" t="n">
        <v>81</v>
      </c>
      <c r="B82" s="5" t="s">
        <v>89</v>
      </c>
      <c r="C82" s="5" t="s">
        <v>1181</v>
      </c>
      <c r="D82" s="5" t="n">
        <v>8</v>
      </c>
      <c r="E82" s="5" t="n">
        <v>0</v>
      </c>
      <c r="F82" s="5" t="n">
        <v>0</v>
      </c>
      <c r="G82" s="5" t="s">
        <v>1387</v>
      </c>
      <c r="H82" s="5" t="s">
        <v>1388</v>
      </c>
    </row>
    <row r="83" customFormat="false" ht="15" hidden="false" customHeight="false" outlineLevel="0" collapsed="false">
      <c r="A83" s="5" t="n">
        <v>82</v>
      </c>
      <c r="B83" s="5" t="s">
        <v>1094</v>
      </c>
      <c r="C83" s="5" t="s">
        <v>1181</v>
      </c>
      <c r="D83" s="5" t="n">
        <v>8</v>
      </c>
      <c r="E83" s="5" t="n">
        <v>0</v>
      </c>
      <c r="F83" s="5" t="n">
        <v>0</v>
      </c>
      <c r="G83" s="5" t="s">
        <v>1389</v>
      </c>
      <c r="H83" s="5" t="s">
        <v>1390</v>
      </c>
    </row>
    <row r="84" customFormat="false" ht="15" hidden="false" customHeight="false" outlineLevel="0" collapsed="false">
      <c r="A84" s="5" t="n">
        <v>83</v>
      </c>
      <c r="B84" s="5" t="s">
        <v>1391</v>
      </c>
      <c r="C84" s="5" t="s">
        <v>1181</v>
      </c>
      <c r="D84" s="5" t="n">
        <v>8</v>
      </c>
      <c r="E84" s="5" t="n">
        <v>0</v>
      </c>
      <c r="F84" s="5" t="n">
        <v>0</v>
      </c>
      <c r="G84" s="5" t="s">
        <v>1392</v>
      </c>
      <c r="H84" s="5" t="s">
        <v>1388</v>
      </c>
    </row>
    <row r="85" customFormat="false" ht="15" hidden="false" customHeight="false" outlineLevel="0" collapsed="false">
      <c r="A85" s="5" t="n">
        <v>84</v>
      </c>
      <c r="B85" s="5" t="s">
        <v>1393</v>
      </c>
      <c r="C85" s="5" t="s">
        <v>1181</v>
      </c>
      <c r="D85" s="5" t="n">
        <v>8</v>
      </c>
      <c r="E85" s="5" t="n">
        <v>0</v>
      </c>
      <c r="F85" s="5" t="n">
        <v>0</v>
      </c>
      <c r="G85" s="5" t="s">
        <v>1394</v>
      </c>
      <c r="H85" s="5" t="s">
        <v>1395</v>
      </c>
    </row>
    <row r="86" customFormat="false" ht="15" hidden="false" customHeight="false" outlineLevel="0" collapsed="false">
      <c r="A86" s="5" t="n">
        <v>85</v>
      </c>
      <c r="B86" s="5" t="s">
        <v>1396</v>
      </c>
      <c r="C86" s="5" t="s">
        <v>1181</v>
      </c>
      <c r="D86" s="5" t="n">
        <v>2</v>
      </c>
      <c r="E86" s="5" t="n">
        <v>1</v>
      </c>
      <c r="F86" s="5" t="n">
        <v>0</v>
      </c>
      <c r="G86" s="5" t="s">
        <v>1397</v>
      </c>
      <c r="H86" s="5" t="s">
        <v>1398</v>
      </c>
    </row>
    <row r="87" customFormat="false" ht="15" hidden="false" customHeight="false" outlineLevel="0" collapsed="false">
      <c r="A87" s="5" t="n">
        <v>86</v>
      </c>
      <c r="B87" s="5" t="s">
        <v>1399</v>
      </c>
      <c r="C87" s="5" t="s">
        <v>1181</v>
      </c>
      <c r="D87" s="5" t="n">
        <v>2</v>
      </c>
      <c r="E87" s="5" t="n">
        <v>1</v>
      </c>
      <c r="F87" s="5" t="n">
        <v>0</v>
      </c>
      <c r="G87" s="5" t="s">
        <v>1400</v>
      </c>
      <c r="H87" s="5" t="s">
        <v>1401</v>
      </c>
    </row>
    <row r="88" customFormat="false" ht="15" hidden="false" customHeight="false" outlineLevel="0" collapsed="false">
      <c r="A88" s="5" t="n">
        <v>87</v>
      </c>
      <c r="B88" s="5" t="s">
        <v>1402</v>
      </c>
      <c r="C88" s="5" t="s">
        <v>1181</v>
      </c>
      <c r="D88" s="5" t="n">
        <v>2</v>
      </c>
      <c r="E88" s="5" t="n">
        <v>1</v>
      </c>
      <c r="F88" s="5" t="n">
        <v>0</v>
      </c>
      <c r="G88" s="5" t="s">
        <v>1403</v>
      </c>
      <c r="H88" s="5" t="s">
        <v>1404</v>
      </c>
    </row>
    <row r="89" customFormat="false" ht="15" hidden="false" customHeight="false" outlineLevel="0" collapsed="false">
      <c r="A89" s="5" t="n">
        <v>88</v>
      </c>
      <c r="B89" s="5" t="s">
        <v>1405</v>
      </c>
      <c r="C89" s="5" t="s">
        <v>1181</v>
      </c>
      <c r="D89" s="5" t="n">
        <v>7</v>
      </c>
      <c r="E89" s="5" t="n">
        <v>0</v>
      </c>
      <c r="F89" s="5" t="n">
        <v>0</v>
      </c>
      <c r="G89" s="5" t="s">
        <v>1406</v>
      </c>
      <c r="H89" s="5" t="s">
        <v>1407</v>
      </c>
    </row>
    <row r="90" customFormat="false" ht="15" hidden="false" customHeight="false" outlineLevel="0" collapsed="false">
      <c r="A90" s="5" t="n">
        <v>89</v>
      </c>
      <c r="B90" s="5" t="s">
        <v>1408</v>
      </c>
      <c r="C90" s="5" t="s">
        <v>1181</v>
      </c>
      <c r="D90" s="5" t="n">
        <v>7</v>
      </c>
      <c r="E90" s="5" t="n">
        <v>0</v>
      </c>
      <c r="F90" s="5" t="n">
        <v>0</v>
      </c>
      <c r="G90" s="5" t="s">
        <v>1409</v>
      </c>
      <c r="H90" s="5" t="s">
        <v>1407</v>
      </c>
    </row>
    <row r="91" customFormat="false" ht="15" hidden="false" customHeight="false" outlineLevel="0" collapsed="false">
      <c r="A91" s="5" t="n">
        <v>90</v>
      </c>
      <c r="B91" s="5" t="s">
        <v>1410</v>
      </c>
      <c r="C91" s="5" t="s">
        <v>1181</v>
      </c>
      <c r="D91" s="5" t="n">
        <v>7</v>
      </c>
      <c r="E91" s="5" t="n">
        <v>0</v>
      </c>
      <c r="F91" s="5" t="n">
        <v>0</v>
      </c>
      <c r="G91" s="5" t="s">
        <v>1411</v>
      </c>
      <c r="H91" s="5" t="s">
        <v>1412</v>
      </c>
    </row>
    <row r="92" customFormat="false" ht="15" hidden="false" customHeight="false" outlineLevel="0" collapsed="false">
      <c r="A92" s="5" t="n">
        <v>91</v>
      </c>
      <c r="B92" s="5" t="s">
        <v>1413</v>
      </c>
      <c r="C92" s="5" t="s">
        <v>1181</v>
      </c>
      <c r="D92" s="5" t="n">
        <v>7</v>
      </c>
      <c r="E92" s="5" t="n">
        <v>0</v>
      </c>
      <c r="F92" s="5" t="n">
        <v>0</v>
      </c>
      <c r="G92" s="5" t="s">
        <v>1414</v>
      </c>
      <c r="H92" s="5" t="s">
        <v>1412</v>
      </c>
    </row>
    <row r="93" customFormat="false" ht="15" hidden="false" customHeight="false" outlineLevel="0" collapsed="false">
      <c r="A93" s="5" t="n">
        <v>92</v>
      </c>
      <c r="B93" s="5" t="s">
        <v>1415</v>
      </c>
      <c r="C93" s="5" t="s">
        <v>1181</v>
      </c>
      <c r="D93" s="5" t="n">
        <v>7</v>
      </c>
      <c r="E93" s="5" t="n">
        <v>0</v>
      </c>
      <c r="F93" s="5" t="n">
        <v>0</v>
      </c>
      <c r="G93" s="5" t="s">
        <v>1416</v>
      </c>
      <c r="H93" s="5" t="s">
        <v>1412</v>
      </c>
    </row>
    <row r="94" customFormat="false" ht="15" hidden="false" customHeight="false" outlineLevel="0" collapsed="false">
      <c r="A94" s="5" t="n">
        <v>93</v>
      </c>
      <c r="B94" s="5" t="s">
        <v>1417</v>
      </c>
      <c r="C94" s="5" t="s">
        <v>1181</v>
      </c>
      <c r="D94" s="5" t="n">
        <v>2</v>
      </c>
      <c r="E94" s="5" t="n">
        <v>1</v>
      </c>
      <c r="F94" s="5" t="n">
        <v>0</v>
      </c>
      <c r="G94" s="5" t="s">
        <v>1418</v>
      </c>
      <c r="H94" s="5" t="s">
        <v>1419</v>
      </c>
    </row>
    <row r="95" customFormat="false" ht="15" hidden="false" customHeight="false" outlineLevel="0" collapsed="false">
      <c r="A95" s="5" t="n">
        <v>94</v>
      </c>
      <c r="B95" s="5" t="s">
        <v>1420</v>
      </c>
      <c r="C95" s="5" t="s">
        <v>1181</v>
      </c>
      <c r="D95" s="5" t="n">
        <v>7</v>
      </c>
      <c r="E95" s="5" t="n">
        <v>0</v>
      </c>
      <c r="F95" s="5" t="n">
        <v>0</v>
      </c>
      <c r="G95" s="5" t="s">
        <v>1421</v>
      </c>
      <c r="H95" s="5" t="s">
        <v>1340</v>
      </c>
    </row>
    <row r="96" customFormat="false" ht="15" hidden="false" customHeight="false" outlineLevel="0" collapsed="false">
      <c r="A96" s="5" t="n">
        <v>95</v>
      </c>
      <c r="B96" s="5" t="s">
        <v>1422</v>
      </c>
      <c r="C96" s="5" t="s">
        <v>1181</v>
      </c>
      <c r="D96" s="5" t="n">
        <v>7</v>
      </c>
      <c r="E96" s="5" t="n">
        <v>0</v>
      </c>
      <c r="F96" s="5" t="n">
        <v>0</v>
      </c>
      <c r="G96" s="5" t="s">
        <v>1423</v>
      </c>
      <c r="H96" s="5" t="s">
        <v>1222</v>
      </c>
    </row>
    <row r="97" customFormat="false" ht="15" hidden="false" customHeight="false" outlineLevel="0" collapsed="false">
      <c r="A97" s="5" t="n">
        <v>96</v>
      </c>
      <c r="B97" s="5" t="s">
        <v>1424</v>
      </c>
      <c r="C97" s="5" t="s">
        <v>1181</v>
      </c>
      <c r="D97" s="5" t="n">
        <v>7</v>
      </c>
      <c r="E97" s="5" t="n">
        <v>0</v>
      </c>
      <c r="F97" s="5" t="n">
        <v>0</v>
      </c>
      <c r="G97" s="5" t="s">
        <v>1425</v>
      </c>
      <c r="H97" s="5" t="s">
        <v>1426</v>
      </c>
    </row>
    <row r="98" customFormat="false" ht="15" hidden="false" customHeight="false" outlineLevel="0" collapsed="false">
      <c r="A98" s="5" t="n">
        <v>97</v>
      </c>
      <c r="B98" s="5" t="s">
        <v>1427</v>
      </c>
      <c r="C98" s="5" t="s">
        <v>1181</v>
      </c>
      <c r="D98" s="5" t="n">
        <v>6</v>
      </c>
      <c r="E98" s="5" t="n">
        <v>0</v>
      </c>
      <c r="F98" s="5" t="n">
        <v>0</v>
      </c>
      <c r="G98" s="5" t="s">
        <v>1428</v>
      </c>
      <c r="H98" s="5" t="s">
        <v>1429</v>
      </c>
    </row>
    <row r="99" customFormat="false" ht="15" hidden="false" customHeight="false" outlineLevel="0" collapsed="false">
      <c r="A99" s="5" t="n">
        <v>98</v>
      </c>
      <c r="B99" s="5" t="s">
        <v>766</v>
      </c>
      <c r="C99" s="5" t="s">
        <v>1181</v>
      </c>
      <c r="D99" s="5" t="n">
        <v>1</v>
      </c>
      <c r="E99" s="5" t="n">
        <v>1</v>
      </c>
      <c r="F99" s="5" t="n">
        <v>0</v>
      </c>
      <c r="G99" s="5" t="s">
        <v>1430</v>
      </c>
      <c r="H99" s="5" t="s">
        <v>765</v>
      </c>
    </row>
    <row r="100" customFormat="false" ht="15" hidden="false" customHeight="false" outlineLevel="0" collapsed="false">
      <c r="A100" s="5" t="n">
        <v>99</v>
      </c>
      <c r="B100" s="5" t="s">
        <v>1431</v>
      </c>
      <c r="C100" s="5" t="s">
        <v>1181</v>
      </c>
      <c r="D100" s="5" t="n">
        <v>6</v>
      </c>
      <c r="E100" s="5" t="n">
        <v>0</v>
      </c>
      <c r="F100" s="5" t="n">
        <v>0</v>
      </c>
      <c r="G100" s="5" t="s">
        <v>1432</v>
      </c>
      <c r="H100" s="5" t="s">
        <v>1433</v>
      </c>
    </row>
    <row r="101" customFormat="false" ht="15" hidden="false" customHeight="false" outlineLevel="0" collapsed="false">
      <c r="A101" s="5" t="n">
        <v>100</v>
      </c>
      <c r="B101" s="5" t="s">
        <v>1434</v>
      </c>
      <c r="C101" s="5" t="s">
        <v>1176</v>
      </c>
      <c r="D101" s="5" t="n">
        <v>1</v>
      </c>
      <c r="E101" s="5" t="n">
        <v>1</v>
      </c>
      <c r="F101" s="5" t="n">
        <v>0</v>
      </c>
      <c r="G101" s="5" t="s">
        <v>1435</v>
      </c>
      <c r="H101" s="5" t="s">
        <v>789</v>
      </c>
    </row>
    <row r="102" customFormat="false" ht="15" hidden="false" customHeight="false" outlineLevel="0" collapsed="false">
      <c r="A102" s="5" t="n">
        <v>101</v>
      </c>
      <c r="B102" s="5" t="s">
        <v>1436</v>
      </c>
      <c r="C102" s="5" t="s">
        <v>1181</v>
      </c>
      <c r="D102" s="5" t="n">
        <v>6</v>
      </c>
      <c r="E102" s="5" t="n">
        <v>0</v>
      </c>
      <c r="F102" s="5" t="n">
        <v>0</v>
      </c>
      <c r="G102" s="5" t="s">
        <v>1437</v>
      </c>
      <c r="H102" s="5" t="s">
        <v>1251</v>
      </c>
    </row>
    <row r="103" customFormat="false" ht="15" hidden="false" customHeight="false" outlineLevel="0" collapsed="false">
      <c r="A103" s="5" t="n">
        <v>102</v>
      </c>
      <c r="B103" s="5" t="s">
        <v>391</v>
      </c>
      <c r="C103" s="5" t="s">
        <v>1176</v>
      </c>
      <c r="D103" s="5" t="n">
        <v>6</v>
      </c>
      <c r="E103" s="5" t="n">
        <v>0</v>
      </c>
      <c r="F103" s="5" t="n">
        <v>0</v>
      </c>
      <c r="G103" s="5" t="s">
        <v>1438</v>
      </c>
      <c r="H103" s="5" t="s">
        <v>1439</v>
      </c>
    </row>
    <row r="104" customFormat="false" ht="15" hidden="false" customHeight="false" outlineLevel="0" collapsed="false">
      <c r="A104" s="5" t="n">
        <v>103</v>
      </c>
      <c r="B104" s="5" t="s">
        <v>238</v>
      </c>
      <c r="C104" s="5" t="s">
        <v>1181</v>
      </c>
      <c r="D104" s="5" t="n">
        <v>1</v>
      </c>
      <c r="E104" s="5" t="n">
        <v>1</v>
      </c>
      <c r="F104" s="5" t="n">
        <v>0</v>
      </c>
      <c r="G104" s="5" t="s">
        <v>1440</v>
      </c>
      <c r="H104" s="5" t="s">
        <v>237</v>
      </c>
    </row>
    <row r="105" customFormat="false" ht="15" hidden="false" customHeight="false" outlineLevel="0" collapsed="false">
      <c r="A105" s="5" t="n">
        <v>104</v>
      </c>
      <c r="B105" s="5" t="s">
        <v>1441</v>
      </c>
      <c r="C105" s="5" t="s">
        <v>1176</v>
      </c>
      <c r="D105" s="5" t="n">
        <v>6</v>
      </c>
      <c r="E105" s="5" t="n">
        <v>0</v>
      </c>
      <c r="F105" s="5" t="n">
        <v>0</v>
      </c>
      <c r="G105" s="5" t="s">
        <v>1442</v>
      </c>
      <c r="H105" s="5" t="s">
        <v>1443</v>
      </c>
    </row>
    <row r="106" customFormat="false" ht="15" hidden="false" customHeight="false" outlineLevel="0" collapsed="false">
      <c r="A106" s="5" t="n">
        <v>105</v>
      </c>
      <c r="B106" s="5" t="s">
        <v>1444</v>
      </c>
      <c r="C106" s="5" t="s">
        <v>1181</v>
      </c>
      <c r="D106" s="5" t="n">
        <v>6</v>
      </c>
      <c r="E106" s="5" t="n">
        <v>0</v>
      </c>
      <c r="F106" s="5" t="n">
        <v>0</v>
      </c>
      <c r="G106" s="5" t="s">
        <v>1445</v>
      </c>
      <c r="H106" s="5" t="s">
        <v>1446</v>
      </c>
    </row>
    <row r="107" customFormat="false" ht="15" hidden="false" customHeight="false" outlineLevel="0" collapsed="false">
      <c r="A107" s="5" t="n">
        <v>106</v>
      </c>
      <c r="B107" s="5" t="s">
        <v>1447</v>
      </c>
      <c r="C107" s="5" t="s">
        <v>1181</v>
      </c>
      <c r="D107" s="5" t="n">
        <v>6</v>
      </c>
      <c r="E107" s="5" t="n">
        <v>0</v>
      </c>
      <c r="F107" s="5" t="n">
        <v>0</v>
      </c>
      <c r="G107" s="5" t="s">
        <v>1448</v>
      </c>
      <c r="H107" s="5" t="s">
        <v>1449</v>
      </c>
    </row>
    <row r="108" customFormat="false" ht="15" hidden="false" customHeight="false" outlineLevel="0" collapsed="false">
      <c r="A108" s="5" t="n">
        <v>107</v>
      </c>
      <c r="B108" s="5" t="s">
        <v>1450</v>
      </c>
      <c r="C108" s="5" t="s">
        <v>1181</v>
      </c>
      <c r="D108" s="5" t="n">
        <v>6</v>
      </c>
      <c r="E108" s="5" t="n">
        <v>0</v>
      </c>
      <c r="F108" s="5" t="n">
        <v>0</v>
      </c>
      <c r="G108" s="5" t="s">
        <v>1451</v>
      </c>
      <c r="H108" s="5" t="s">
        <v>1452</v>
      </c>
    </row>
    <row r="109" customFormat="false" ht="15" hidden="false" customHeight="false" outlineLevel="0" collapsed="false">
      <c r="A109" s="5" t="n">
        <v>108</v>
      </c>
      <c r="B109" s="5" t="s">
        <v>1453</v>
      </c>
      <c r="C109" s="5" t="s">
        <v>1181</v>
      </c>
      <c r="D109" s="5" t="n">
        <v>6</v>
      </c>
      <c r="E109" s="5" t="n">
        <v>0</v>
      </c>
      <c r="F109" s="5" t="n">
        <v>0</v>
      </c>
      <c r="G109" s="5" t="s">
        <v>1454</v>
      </c>
      <c r="H109" s="5" t="s">
        <v>1455</v>
      </c>
    </row>
    <row r="110" customFormat="false" ht="15" hidden="false" customHeight="false" outlineLevel="0" collapsed="false">
      <c r="A110" s="5" t="n">
        <v>109</v>
      </c>
      <c r="B110" s="5" t="s">
        <v>1456</v>
      </c>
      <c r="C110" s="5" t="s">
        <v>1181</v>
      </c>
      <c r="D110" s="5" t="n">
        <v>1</v>
      </c>
      <c r="E110" s="5" t="n">
        <v>1</v>
      </c>
      <c r="F110" s="5" t="n">
        <v>0</v>
      </c>
      <c r="G110" s="5" t="s">
        <v>1457</v>
      </c>
      <c r="H110" s="5" t="s">
        <v>79</v>
      </c>
    </row>
    <row r="111" customFormat="false" ht="15" hidden="false" customHeight="false" outlineLevel="0" collapsed="false">
      <c r="A111" s="5" t="n">
        <v>110</v>
      </c>
      <c r="B111" s="5" t="s">
        <v>323</v>
      </c>
      <c r="C111" s="5" t="s">
        <v>1176</v>
      </c>
      <c r="D111" s="5" t="n">
        <v>6</v>
      </c>
      <c r="E111" s="5" t="n">
        <v>0</v>
      </c>
      <c r="F111" s="5" t="n">
        <v>0</v>
      </c>
      <c r="G111" s="5" t="s">
        <v>1458</v>
      </c>
      <c r="H111" s="5" t="s">
        <v>1459</v>
      </c>
    </row>
    <row r="112" customFormat="false" ht="15" hidden="false" customHeight="false" outlineLevel="0" collapsed="false">
      <c r="A112" s="5" t="n">
        <v>111</v>
      </c>
      <c r="B112" s="5" t="s">
        <v>1152</v>
      </c>
      <c r="C112" s="5" t="s">
        <v>1181</v>
      </c>
      <c r="D112" s="5" t="n">
        <v>1</v>
      </c>
      <c r="E112" s="5" t="n">
        <v>1</v>
      </c>
      <c r="F112" s="5" t="n">
        <v>0</v>
      </c>
      <c r="G112" s="5" t="s">
        <v>1460</v>
      </c>
      <c r="H112" s="5" t="s">
        <v>1151</v>
      </c>
    </row>
    <row r="113" customFormat="false" ht="15" hidden="false" customHeight="false" outlineLevel="0" collapsed="false">
      <c r="A113" s="5" t="n">
        <v>112</v>
      </c>
      <c r="B113" s="5" t="s">
        <v>1461</v>
      </c>
      <c r="C113" s="5" t="s">
        <v>1181</v>
      </c>
      <c r="D113" s="5" t="n">
        <v>1</v>
      </c>
      <c r="E113" s="5" t="n">
        <v>1</v>
      </c>
      <c r="F113" s="5" t="n">
        <v>0</v>
      </c>
      <c r="G113" s="5" t="s">
        <v>1462</v>
      </c>
      <c r="H113" s="5" t="s">
        <v>333</v>
      </c>
    </row>
    <row r="114" customFormat="false" ht="15" hidden="false" customHeight="false" outlineLevel="0" collapsed="false">
      <c r="A114" s="5" t="n">
        <v>113</v>
      </c>
      <c r="B114" s="5" t="s">
        <v>1463</v>
      </c>
      <c r="C114" s="5" t="s">
        <v>1181</v>
      </c>
      <c r="D114" s="5" t="n">
        <v>6</v>
      </c>
      <c r="E114" s="5" t="n">
        <v>0</v>
      </c>
      <c r="F114" s="5" t="n">
        <v>0</v>
      </c>
      <c r="G114" s="5" t="s">
        <v>1464</v>
      </c>
      <c r="H114" s="5" t="s">
        <v>1465</v>
      </c>
    </row>
    <row r="115" customFormat="false" ht="15" hidden="false" customHeight="false" outlineLevel="0" collapsed="false">
      <c r="A115" s="5" t="n">
        <v>114</v>
      </c>
      <c r="B115" s="5" t="s">
        <v>169</v>
      </c>
      <c r="C115" s="5" t="s">
        <v>1181</v>
      </c>
      <c r="D115" s="5" t="n">
        <v>6</v>
      </c>
      <c r="E115" s="5" t="n">
        <v>0</v>
      </c>
      <c r="F115" s="5" t="n">
        <v>0</v>
      </c>
      <c r="G115" s="5" t="s">
        <v>1466</v>
      </c>
      <c r="H115" s="5" t="s">
        <v>1449</v>
      </c>
    </row>
    <row r="116" customFormat="false" ht="15" hidden="false" customHeight="false" outlineLevel="0" collapsed="false">
      <c r="A116" s="5" t="n">
        <v>115</v>
      </c>
      <c r="B116" s="5" t="s">
        <v>1467</v>
      </c>
      <c r="C116" s="5" t="s">
        <v>1181</v>
      </c>
      <c r="D116" s="5" t="n">
        <v>6</v>
      </c>
      <c r="E116" s="5" t="n">
        <v>0</v>
      </c>
      <c r="F116" s="5" t="n">
        <v>0</v>
      </c>
      <c r="G116" s="5" t="s">
        <v>1468</v>
      </c>
      <c r="H116" s="5" t="s">
        <v>1469</v>
      </c>
    </row>
    <row r="117" customFormat="false" ht="15" hidden="false" customHeight="false" outlineLevel="0" collapsed="false">
      <c r="A117" s="5" t="n">
        <v>116</v>
      </c>
      <c r="B117" s="5" t="s">
        <v>1470</v>
      </c>
      <c r="C117" s="5" t="s">
        <v>1181</v>
      </c>
      <c r="D117" s="5" t="n">
        <v>6</v>
      </c>
      <c r="E117" s="5" t="n">
        <v>0</v>
      </c>
      <c r="F117" s="5" t="n">
        <v>0</v>
      </c>
      <c r="G117" s="5" t="s">
        <v>1471</v>
      </c>
      <c r="H117" s="5" t="s">
        <v>1472</v>
      </c>
    </row>
    <row r="118" customFormat="false" ht="15" hidden="false" customHeight="false" outlineLevel="0" collapsed="false">
      <c r="A118" s="5" t="n">
        <v>117</v>
      </c>
      <c r="B118" s="5" t="s">
        <v>793</v>
      </c>
      <c r="C118" s="5" t="s">
        <v>1181</v>
      </c>
      <c r="D118" s="5" t="n">
        <v>1</v>
      </c>
      <c r="E118" s="5" t="n">
        <v>1</v>
      </c>
      <c r="F118" s="5" t="n">
        <v>0</v>
      </c>
      <c r="G118" s="5" t="s">
        <v>1473</v>
      </c>
      <c r="H118" s="5" t="s">
        <v>792</v>
      </c>
    </row>
    <row r="119" customFormat="false" ht="15" hidden="false" customHeight="false" outlineLevel="0" collapsed="false">
      <c r="A119" s="5" t="n">
        <v>118</v>
      </c>
      <c r="B119" s="5" t="s">
        <v>116</v>
      </c>
      <c r="C119" s="5" t="s">
        <v>1181</v>
      </c>
      <c r="D119" s="5" t="n">
        <v>1</v>
      </c>
      <c r="E119" s="5" t="n">
        <v>1</v>
      </c>
      <c r="F119" s="5" t="n">
        <v>0</v>
      </c>
      <c r="G119" s="5" t="s">
        <v>1474</v>
      </c>
      <c r="H119" s="5" t="s">
        <v>115</v>
      </c>
    </row>
    <row r="120" customFormat="false" ht="15" hidden="false" customHeight="false" outlineLevel="0" collapsed="false">
      <c r="A120" s="5" t="n">
        <v>119</v>
      </c>
      <c r="B120" s="5" t="s">
        <v>1475</v>
      </c>
      <c r="C120" s="5" t="s">
        <v>1181</v>
      </c>
      <c r="D120" s="5" t="n">
        <v>1</v>
      </c>
      <c r="E120" s="5" t="n">
        <v>1</v>
      </c>
      <c r="F120" s="5" t="n">
        <v>0</v>
      </c>
      <c r="G120" s="5" t="s">
        <v>1476</v>
      </c>
      <c r="H120" s="5" t="s">
        <v>212</v>
      </c>
    </row>
    <row r="121" customFormat="false" ht="15" hidden="false" customHeight="false" outlineLevel="0" collapsed="false">
      <c r="A121" s="5" t="n">
        <v>120</v>
      </c>
      <c r="B121" s="5" t="s">
        <v>315</v>
      </c>
      <c r="C121" s="5" t="s">
        <v>1181</v>
      </c>
      <c r="D121" s="5" t="n">
        <v>5</v>
      </c>
      <c r="E121" s="5" t="n">
        <v>0</v>
      </c>
      <c r="F121" s="5" t="n">
        <v>0</v>
      </c>
      <c r="G121" s="5" t="s">
        <v>1477</v>
      </c>
      <c r="H121" s="5" t="s">
        <v>1478</v>
      </c>
    </row>
    <row r="122" customFormat="false" ht="15" hidden="false" customHeight="false" outlineLevel="0" collapsed="false">
      <c r="A122" s="5" t="n">
        <v>121</v>
      </c>
      <c r="B122" s="5" t="s">
        <v>1479</v>
      </c>
      <c r="C122" s="5" t="s">
        <v>1181</v>
      </c>
      <c r="D122" s="5" t="n">
        <v>5</v>
      </c>
      <c r="E122" s="5" t="n">
        <v>0</v>
      </c>
      <c r="F122" s="5" t="n">
        <v>0</v>
      </c>
      <c r="G122" s="5" t="s">
        <v>1480</v>
      </c>
      <c r="H122" s="5" t="s">
        <v>1481</v>
      </c>
    </row>
    <row r="123" customFormat="false" ht="15" hidden="false" customHeight="false" outlineLevel="0" collapsed="false">
      <c r="A123" s="5" t="n">
        <v>122</v>
      </c>
      <c r="B123" s="5" t="s">
        <v>436</v>
      </c>
      <c r="C123" s="5" t="s">
        <v>1181</v>
      </c>
      <c r="D123" s="5" t="n">
        <v>5</v>
      </c>
      <c r="E123" s="5" t="n">
        <v>0</v>
      </c>
      <c r="F123" s="5" t="n">
        <v>0</v>
      </c>
      <c r="G123" s="5" t="s">
        <v>1482</v>
      </c>
      <c r="H123" s="5" t="s">
        <v>1483</v>
      </c>
    </row>
    <row r="124" customFormat="false" ht="15" hidden="false" customHeight="false" outlineLevel="0" collapsed="false">
      <c r="A124" s="5" t="n">
        <v>123</v>
      </c>
      <c r="B124" s="5" t="s">
        <v>1484</v>
      </c>
      <c r="C124" s="5" t="s">
        <v>1181</v>
      </c>
      <c r="D124" s="5" t="n">
        <v>5</v>
      </c>
      <c r="E124" s="5" t="n">
        <v>0</v>
      </c>
      <c r="F124" s="5" t="n">
        <v>0</v>
      </c>
      <c r="G124" s="5" t="s">
        <v>1485</v>
      </c>
      <c r="H124" s="5" t="s">
        <v>1486</v>
      </c>
    </row>
    <row r="125" customFormat="false" ht="15" hidden="false" customHeight="false" outlineLevel="0" collapsed="false">
      <c r="A125" s="5" t="n">
        <v>124</v>
      </c>
      <c r="B125" s="5" t="s">
        <v>1487</v>
      </c>
      <c r="C125" s="5" t="s">
        <v>1181</v>
      </c>
      <c r="D125" s="5" t="n">
        <v>5</v>
      </c>
      <c r="E125" s="5" t="n">
        <v>0</v>
      </c>
      <c r="F125" s="5" t="n">
        <v>0</v>
      </c>
      <c r="G125" s="5" t="s">
        <v>1488</v>
      </c>
      <c r="H125" s="5" t="s">
        <v>1489</v>
      </c>
    </row>
    <row r="126" customFormat="false" ht="15" hidden="false" customHeight="false" outlineLevel="0" collapsed="false">
      <c r="A126" s="5" t="n">
        <v>125</v>
      </c>
      <c r="B126" s="5" t="s">
        <v>1490</v>
      </c>
      <c r="C126" s="5" t="s">
        <v>1181</v>
      </c>
      <c r="D126" s="5" t="n">
        <v>5</v>
      </c>
      <c r="E126" s="5" t="n">
        <v>0</v>
      </c>
      <c r="F126" s="5" t="n">
        <v>0</v>
      </c>
      <c r="G126" s="5" t="s">
        <v>1491</v>
      </c>
      <c r="H126" s="5" t="s">
        <v>1449</v>
      </c>
    </row>
    <row r="127" customFormat="false" ht="15" hidden="false" customHeight="false" outlineLevel="0" collapsed="false">
      <c r="A127" s="5" t="n">
        <v>126</v>
      </c>
      <c r="B127" s="5" t="s">
        <v>1492</v>
      </c>
      <c r="C127" s="5" t="s">
        <v>1181</v>
      </c>
      <c r="D127" s="5" t="n">
        <v>5</v>
      </c>
      <c r="E127" s="5" t="n">
        <v>0</v>
      </c>
      <c r="F127" s="5" t="n">
        <v>0</v>
      </c>
      <c r="G127" s="5" t="s">
        <v>1493</v>
      </c>
      <c r="H127" s="5" t="s">
        <v>1494</v>
      </c>
    </row>
    <row r="128" customFormat="false" ht="15" hidden="false" customHeight="false" outlineLevel="0" collapsed="false">
      <c r="A128" s="5" t="n">
        <v>127</v>
      </c>
      <c r="B128" s="5" t="s">
        <v>1495</v>
      </c>
      <c r="C128" s="5" t="s">
        <v>1181</v>
      </c>
      <c r="D128" s="5" t="n">
        <v>5</v>
      </c>
      <c r="E128" s="5" t="n">
        <v>0</v>
      </c>
      <c r="F128" s="5" t="n">
        <v>0</v>
      </c>
      <c r="G128" s="5" t="s">
        <v>1496</v>
      </c>
      <c r="H128" s="5" t="s">
        <v>1251</v>
      </c>
    </row>
    <row r="129" customFormat="false" ht="15" hidden="false" customHeight="false" outlineLevel="0" collapsed="false">
      <c r="A129" s="5" t="n">
        <v>128</v>
      </c>
      <c r="B129" s="5" t="s">
        <v>1497</v>
      </c>
      <c r="C129" s="5" t="s">
        <v>1181</v>
      </c>
      <c r="D129" s="5" t="n">
        <v>5</v>
      </c>
      <c r="E129" s="5" t="n">
        <v>0</v>
      </c>
      <c r="F129" s="5" t="n">
        <v>0</v>
      </c>
      <c r="G129" s="5" t="s">
        <v>1498</v>
      </c>
      <c r="H129" s="5" t="s">
        <v>1499</v>
      </c>
    </row>
    <row r="130" customFormat="false" ht="15" hidden="false" customHeight="false" outlineLevel="0" collapsed="false">
      <c r="A130" s="5" t="n">
        <v>129</v>
      </c>
      <c r="B130" s="5" t="s">
        <v>1500</v>
      </c>
      <c r="C130" s="5" t="s">
        <v>1181</v>
      </c>
      <c r="D130" s="5" t="n">
        <v>5</v>
      </c>
      <c r="E130" s="5" t="n">
        <v>0</v>
      </c>
      <c r="F130" s="5" t="n">
        <v>0</v>
      </c>
      <c r="G130" s="5" t="s">
        <v>1501</v>
      </c>
      <c r="H130" s="5" t="s">
        <v>1502</v>
      </c>
    </row>
    <row r="131" customFormat="false" ht="15" hidden="false" customHeight="false" outlineLevel="0" collapsed="false">
      <c r="A131" s="5" t="n">
        <v>130</v>
      </c>
      <c r="B131" s="5" t="s">
        <v>1503</v>
      </c>
      <c r="C131" s="5" t="s">
        <v>1181</v>
      </c>
      <c r="D131" s="5" t="n">
        <v>5</v>
      </c>
      <c r="E131" s="5" t="n">
        <v>0</v>
      </c>
      <c r="F131" s="5" t="n">
        <v>0</v>
      </c>
      <c r="G131" s="5" t="s">
        <v>1504</v>
      </c>
      <c r="H131" s="5" t="s">
        <v>1505</v>
      </c>
    </row>
    <row r="132" customFormat="false" ht="15" hidden="false" customHeight="false" outlineLevel="0" collapsed="false">
      <c r="A132" s="5" t="n">
        <v>131</v>
      </c>
      <c r="B132" s="5" t="s">
        <v>1506</v>
      </c>
      <c r="C132" s="5" t="s">
        <v>1176</v>
      </c>
      <c r="D132" s="5" t="n">
        <v>5</v>
      </c>
      <c r="E132" s="5" t="n">
        <v>0</v>
      </c>
      <c r="F132" s="5" t="n">
        <v>0</v>
      </c>
      <c r="G132" s="5" t="s">
        <v>1507</v>
      </c>
      <c r="H132" s="5" t="s">
        <v>1508</v>
      </c>
    </row>
    <row r="133" customFormat="false" ht="15" hidden="false" customHeight="false" outlineLevel="0" collapsed="false">
      <c r="A133" s="5" t="n">
        <v>132</v>
      </c>
      <c r="B133" s="5" t="s">
        <v>1509</v>
      </c>
      <c r="C133" s="5" t="s">
        <v>1181</v>
      </c>
      <c r="D133" s="5" t="n">
        <v>5</v>
      </c>
      <c r="E133" s="5" t="n">
        <v>0</v>
      </c>
      <c r="F133" s="5" t="n">
        <v>0</v>
      </c>
      <c r="G133" s="5" t="s">
        <v>1510</v>
      </c>
      <c r="H133" s="5" t="s">
        <v>1511</v>
      </c>
    </row>
    <row r="134" customFormat="false" ht="15" hidden="false" customHeight="false" outlineLevel="0" collapsed="false">
      <c r="A134" s="5" t="n">
        <v>133</v>
      </c>
      <c r="B134" s="5" t="s">
        <v>1512</v>
      </c>
      <c r="C134" s="5" t="s">
        <v>1181</v>
      </c>
      <c r="D134" s="5" t="n">
        <v>5</v>
      </c>
      <c r="E134" s="5" t="n">
        <v>0</v>
      </c>
      <c r="F134" s="5" t="n">
        <v>0</v>
      </c>
      <c r="G134" s="5" t="s">
        <v>1513</v>
      </c>
      <c r="H134" s="5" t="s">
        <v>1514</v>
      </c>
    </row>
    <row r="135" customFormat="false" ht="15" hidden="false" customHeight="false" outlineLevel="0" collapsed="false">
      <c r="A135" s="5" t="n">
        <v>134</v>
      </c>
      <c r="B135" s="5" t="s">
        <v>1515</v>
      </c>
      <c r="C135" s="5" t="s">
        <v>1181</v>
      </c>
      <c r="D135" s="5" t="n">
        <v>5</v>
      </c>
      <c r="E135" s="5" t="n">
        <v>0</v>
      </c>
      <c r="F135" s="5" t="n">
        <v>0</v>
      </c>
      <c r="G135" s="5" t="s">
        <v>1516</v>
      </c>
      <c r="H135" s="5" t="s">
        <v>1517</v>
      </c>
    </row>
    <row r="136" customFormat="false" ht="15" hidden="false" customHeight="false" outlineLevel="0" collapsed="false">
      <c r="A136" s="5" t="n">
        <v>135</v>
      </c>
      <c r="B136" s="5" t="s">
        <v>1518</v>
      </c>
      <c r="C136" s="5" t="s">
        <v>1181</v>
      </c>
      <c r="D136" s="5" t="n">
        <v>5</v>
      </c>
      <c r="E136" s="5" t="n">
        <v>0</v>
      </c>
      <c r="F136" s="5" t="n">
        <v>0</v>
      </c>
      <c r="G136" s="5" t="s">
        <v>1519</v>
      </c>
      <c r="H136" s="5" t="s">
        <v>1520</v>
      </c>
    </row>
    <row r="137" customFormat="false" ht="15" hidden="false" customHeight="false" outlineLevel="0" collapsed="false">
      <c r="A137" s="5" t="n">
        <v>136</v>
      </c>
      <c r="B137" s="5" t="s">
        <v>1521</v>
      </c>
      <c r="C137" s="5" t="s">
        <v>1181</v>
      </c>
      <c r="D137" s="5" t="n">
        <v>5</v>
      </c>
      <c r="E137" s="5" t="n">
        <v>0</v>
      </c>
      <c r="F137" s="5" t="n">
        <v>0</v>
      </c>
      <c r="G137" s="5" t="s">
        <v>1522</v>
      </c>
      <c r="H137" s="5" t="s">
        <v>1523</v>
      </c>
    </row>
    <row r="138" customFormat="false" ht="15" hidden="false" customHeight="false" outlineLevel="0" collapsed="false">
      <c r="A138" s="5" t="n">
        <v>137</v>
      </c>
      <c r="B138" s="5" t="s">
        <v>1524</v>
      </c>
      <c r="C138" s="5" t="s">
        <v>1181</v>
      </c>
      <c r="D138" s="5" t="n">
        <v>5</v>
      </c>
      <c r="E138" s="5" t="n">
        <v>0</v>
      </c>
      <c r="F138" s="5" t="n">
        <v>0</v>
      </c>
      <c r="G138" s="5" t="s">
        <v>1525</v>
      </c>
      <c r="H138" s="5" t="s">
        <v>1526</v>
      </c>
    </row>
    <row r="139" customFormat="false" ht="15" hidden="false" customHeight="false" outlineLevel="0" collapsed="false">
      <c r="A139" s="5" t="n">
        <v>138</v>
      </c>
      <c r="B139" s="5" t="s">
        <v>1527</v>
      </c>
      <c r="C139" s="5" t="s">
        <v>1181</v>
      </c>
      <c r="D139" s="5" t="n">
        <v>5</v>
      </c>
      <c r="E139" s="5" t="n">
        <v>0</v>
      </c>
      <c r="F139" s="5" t="n">
        <v>0</v>
      </c>
      <c r="G139" s="5" t="s">
        <v>1528</v>
      </c>
      <c r="H139" s="5" t="s">
        <v>1529</v>
      </c>
    </row>
    <row r="140" customFormat="false" ht="15" hidden="false" customHeight="false" outlineLevel="0" collapsed="false">
      <c r="A140" s="5" t="n">
        <v>139</v>
      </c>
      <c r="B140" s="5" t="s">
        <v>69</v>
      </c>
      <c r="C140" s="5" t="s">
        <v>1181</v>
      </c>
      <c r="D140" s="5" t="n">
        <v>5</v>
      </c>
      <c r="E140" s="5" t="n">
        <v>0</v>
      </c>
      <c r="F140" s="5" t="n">
        <v>0</v>
      </c>
      <c r="G140" s="5" t="s">
        <v>1530</v>
      </c>
      <c r="H140" s="5" t="s">
        <v>1531</v>
      </c>
    </row>
    <row r="141" customFormat="false" ht="15" hidden="false" customHeight="false" outlineLevel="0" collapsed="false">
      <c r="A141" s="5" t="n">
        <v>140</v>
      </c>
      <c r="B141" s="5" t="s">
        <v>191</v>
      </c>
      <c r="C141" s="5" t="s">
        <v>1181</v>
      </c>
      <c r="D141" s="5" t="n">
        <v>5</v>
      </c>
      <c r="E141" s="5" t="n">
        <v>0</v>
      </c>
      <c r="F141" s="5" t="n">
        <v>0</v>
      </c>
      <c r="G141" s="5" t="s">
        <v>1532</v>
      </c>
      <c r="H141" s="5" t="s">
        <v>1533</v>
      </c>
    </row>
    <row r="142" customFormat="false" ht="15" hidden="false" customHeight="false" outlineLevel="0" collapsed="false">
      <c r="A142" s="5" t="n">
        <v>141</v>
      </c>
      <c r="B142" s="5" t="s">
        <v>1534</v>
      </c>
      <c r="C142" s="5" t="s">
        <v>1181</v>
      </c>
      <c r="D142" s="5" t="n">
        <v>5</v>
      </c>
      <c r="E142" s="5" t="n">
        <v>0</v>
      </c>
      <c r="F142" s="5" t="n">
        <v>0</v>
      </c>
      <c r="G142" s="5" t="s">
        <v>1535</v>
      </c>
      <c r="H142" s="5" t="s">
        <v>1536</v>
      </c>
    </row>
    <row r="143" customFormat="false" ht="15" hidden="false" customHeight="false" outlineLevel="0" collapsed="false">
      <c r="A143" s="5" t="n">
        <v>142</v>
      </c>
      <c r="B143" s="5" t="s">
        <v>1537</v>
      </c>
      <c r="C143" s="5" t="s">
        <v>1181</v>
      </c>
      <c r="D143" s="5" t="n">
        <v>5</v>
      </c>
      <c r="E143" s="5" t="n">
        <v>0</v>
      </c>
      <c r="F143" s="5" t="n">
        <v>0</v>
      </c>
      <c r="G143" s="5" t="s">
        <v>1538</v>
      </c>
      <c r="H143" s="5" t="s">
        <v>1539</v>
      </c>
    </row>
    <row r="144" customFormat="false" ht="15" hidden="false" customHeight="false" outlineLevel="0" collapsed="false">
      <c r="A144" s="5" t="n">
        <v>143</v>
      </c>
      <c r="B144" s="5" t="s">
        <v>1540</v>
      </c>
      <c r="C144" s="5" t="s">
        <v>1181</v>
      </c>
      <c r="D144" s="5" t="n">
        <v>5</v>
      </c>
      <c r="E144" s="5" t="n">
        <v>0</v>
      </c>
      <c r="F144" s="5" t="n">
        <v>0</v>
      </c>
      <c r="G144" s="5" t="s">
        <v>1541</v>
      </c>
      <c r="H144" s="5" t="s">
        <v>1542</v>
      </c>
    </row>
    <row r="145" customFormat="false" ht="15" hidden="false" customHeight="false" outlineLevel="0" collapsed="false">
      <c r="A145" s="5" t="n">
        <v>144</v>
      </c>
      <c r="B145" s="5" t="s">
        <v>1543</v>
      </c>
      <c r="C145" s="5" t="s">
        <v>1181</v>
      </c>
      <c r="D145" s="5" t="n">
        <v>5</v>
      </c>
      <c r="E145" s="5" t="n">
        <v>0</v>
      </c>
      <c r="F145" s="5" t="n">
        <v>0</v>
      </c>
      <c r="G145" s="5" t="s">
        <v>1544</v>
      </c>
      <c r="H145" s="5" t="s">
        <v>1545</v>
      </c>
    </row>
    <row r="146" customFormat="false" ht="15" hidden="false" customHeight="false" outlineLevel="0" collapsed="false">
      <c r="A146" s="5" t="n">
        <v>145</v>
      </c>
      <c r="B146" s="5" t="s">
        <v>1546</v>
      </c>
      <c r="C146" s="5" t="s">
        <v>1181</v>
      </c>
      <c r="D146" s="5" t="n">
        <v>5</v>
      </c>
      <c r="E146" s="5" t="n">
        <v>0</v>
      </c>
      <c r="F146" s="5" t="n">
        <v>0</v>
      </c>
      <c r="G146" s="5" t="s">
        <v>1547</v>
      </c>
      <c r="H146" s="5" t="s">
        <v>1548</v>
      </c>
    </row>
    <row r="147" customFormat="false" ht="15" hidden="false" customHeight="false" outlineLevel="0" collapsed="false">
      <c r="A147" s="5" t="n">
        <v>146</v>
      </c>
      <c r="B147" s="5" t="s">
        <v>1549</v>
      </c>
      <c r="C147" s="5" t="s">
        <v>1181</v>
      </c>
      <c r="D147" s="5" t="n">
        <v>5</v>
      </c>
      <c r="E147" s="5" t="n">
        <v>0</v>
      </c>
      <c r="F147" s="5" t="n">
        <v>0</v>
      </c>
      <c r="G147" s="5" t="s">
        <v>1550</v>
      </c>
      <c r="H147" s="5" t="s">
        <v>1551</v>
      </c>
    </row>
    <row r="148" customFormat="false" ht="15" hidden="false" customHeight="false" outlineLevel="0" collapsed="false">
      <c r="A148" s="5" t="n">
        <v>147</v>
      </c>
      <c r="B148" s="5" t="s">
        <v>1552</v>
      </c>
      <c r="C148" s="5" t="s">
        <v>1181</v>
      </c>
      <c r="D148" s="5" t="n">
        <v>5</v>
      </c>
      <c r="E148" s="5" t="n">
        <v>0</v>
      </c>
      <c r="F148" s="5" t="n">
        <v>0</v>
      </c>
      <c r="G148" s="5" t="s">
        <v>1553</v>
      </c>
      <c r="H148" s="5" t="s">
        <v>1539</v>
      </c>
    </row>
    <row r="149" customFormat="false" ht="15" hidden="false" customHeight="false" outlineLevel="0" collapsed="false">
      <c r="A149" s="5" t="n">
        <v>148</v>
      </c>
      <c r="B149" s="5" t="s">
        <v>1554</v>
      </c>
      <c r="C149" s="5" t="s">
        <v>1181</v>
      </c>
      <c r="D149" s="5" t="n">
        <v>4</v>
      </c>
      <c r="E149" s="5" t="n">
        <v>0</v>
      </c>
      <c r="F149" s="5" t="n">
        <v>0</v>
      </c>
      <c r="G149" s="5" t="s">
        <v>1555</v>
      </c>
      <c r="H149" s="5" t="s">
        <v>1556</v>
      </c>
    </row>
    <row r="150" customFormat="false" ht="15" hidden="false" customHeight="false" outlineLevel="0" collapsed="false">
      <c r="A150" s="5" t="n">
        <v>149</v>
      </c>
      <c r="B150" s="5" t="s">
        <v>1557</v>
      </c>
      <c r="C150" s="5" t="s">
        <v>1181</v>
      </c>
      <c r="D150" s="5" t="n">
        <v>4</v>
      </c>
      <c r="E150" s="5" t="n">
        <v>0</v>
      </c>
      <c r="F150" s="5" t="n">
        <v>0</v>
      </c>
      <c r="G150" s="5" t="s">
        <v>1558</v>
      </c>
      <c r="H150" s="5" t="s">
        <v>1559</v>
      </c>
    </row>
    <row r="151" customFormat="false" ht="15" hidden="false" customHeight="false" outlineLevel="0" collapsed="false">
      <c r="A151" s="5" t="n">
        <v>150</v>
      </c>
      <c r="B151" s="5" t="s">
        <v>1560</v>
      </c>
      <c r="C151" s="5" t="s">
        <v>1181</v>
      </c>
      <c r="D151" s="5" t="n">
        <v>4</v>
      </c>
      <c r="E151" s="5" t="n">
        <v>0</v>
      </c>
      <c r="F151" s="5" t="n">
        <v>0</v>
      </c>
      <c r="G151" s="5" t="s">
        <v>1561</v>
      </c>
      <c r="H151" s="5" t="s">
        <v>1562</v>
      </c>
    </row>
    <row r="152" customFormat="false" ht="15" hidden="false" customHeight="false" outlineLevel="0" collapsed="false">
      <c r="A152" s="5" t="n">
        <v>151</v>
      </c>
      <c r="B152" s="5" t="s">
        <v>1563</v>
      </c>
      <c r="C152" s="5" t="s">
        <v>1181</v>
      </c>
      <c r="D152" s="5" t="n">
        <v>4</v>
      </c>
      <c r="E152" s="5" t="n">
        <v>0</v>
      </c>
      <c r="F152" s="5" t="n">
        <v>0</v>
      </c>
      <c r="G152" s="5" t="s">
        <v>1564</v>
      </c>
      <c r="H152" s="5" t="s">
        <v>1565</v>
      </c>
    </row>
    <row r="153" customFormat="false" ht="15" hidden="false" customHeight="false" outlineLevel="0" collapsed="false">
      <c r="A153" s="5" t="n">
        <v>152</v>
      </c>
      <c r="B153" s="5" t="s">
        <v>1566</v>
      </c>
      <c r="C153" s="5" t="s">
        <v>1181</v>
      </c>
      <c r="D153" s="5" t="n">
        <v>4</v>
      </c>
      <c r="E153" s="5" t="n">
        <v>0</v>
      </c>
      <c r="F153" s="5" t="n">
        <v>0</v>
      </c>
      <c r="G153" s="5" t="s">
        <v>1567</v>
      </c>
      <c r="H153" s="5" t="s">
        <v>1568</v>
      </c>
    </row>
    <row r="154" customFormat="false" ht="15" hidden="false" customHeight="false" outlineLevel="0" collapsed="false">
      <c r="A154" s="5" t="n">
        <v>153</v>
      </c>
      <c r="B154" s="5" t="s">
        <v>1569</v>
      </c>
      <c r="C154" s="5" t="s">
        <v>1181</v>
      </c>
      <c r="D154" s="5" t="n">
        <v>4</v>
      </c>
      <c r="E154" s="5" t="n">
        <v>0</v>
      </c>
      <c r="F154" s="5" t="n">
        <v>0</v>
      </c>
      <c r="G154" s="5" t="s">
        <v>1570</v>
      </c>
      <c r="H154" s="5" t="s">
        <v>1449</v>
      </c>
    </row>
    <row r="155" customFormat="false" ht="15" hidden="false" customHeight="false" outlineLevel="0" collapsed="false">
      <c r="A155" s="5" t="n">
        <v>154</v>
      </c>
      <c r="B155" s="5" t="s">
        <v>1571</v>
      </c>
      <c r="C155" s="5" t="s">
        <v>1181</v>
      </c>
      <c r="D155" s="5" t="n">
        <v>4</v>
      </c>
      <c r="E155" s="5" t="n">
        <v>0</v>
      </c>
      <c r="F155" s="5" t="n">
        <v>0</v>
      </c>
      <c r="G155" s="5" t="s">
        <v>1572</v>
      </c>
      <c r="H155" s="5" t="s">
        <v>1573</v>
      </c>
    </row>
    <row r="156" customFormat="false" ht="15" hidden="false" customHeight="false" outlineLevel="0" collapsed="false">
      <c r="A156" s="5" t="n">
        <v>155</v>
      </c>
      <c r="B156" s="5" t="s">
        <v>1574</v>
      </c>
      <c r="C156" s="5" t="s">
        <v>1176</v>
      </c>
      <c r="D156" s="5" t="n">
        <v>4</v>
      </c>
      <c r="E156" s="5" t="n">
        <v>0</v>
      </c>
      <c r="F156" s="5" t="n">
        <v>0</v>
      </c>
      <c r="G156" s="5" t="s">
        <v>1575</v>
      </c>
      <c r="H156" s="5" t="s">
        <v>1576</v>
      </c>
    </row>
    <row r="157" customFormat="false" ht="15" hidden="false" customHeight="false" outlineLevel="0" collapsed="false">
      <c r="A157" s="5" t="n">
        <v>156</v>
      </c>
      <c r="B157" s="5" t="s">
        <v>1577</v>
      </c>
      <c r="C157" s="5" t="s">
        <v>1181</v>
      </c>
      <c r="D157" s="5" t="n">
        <v>4</v>
      </c>
      <c r="E157" s="5" t="n">
        <v>0</v>
      </c>
      <c r="F157" s="5" t="n">
        <v>0</v>
      </c>
      <c r="G157" s="5" t="s">
        <v>1578</v>
      </c>
      <c r="H157" s="5" t="s">
        <v>1579</v>
      </c>
    </row>
    <row r="158" customFormat="false" ht="15" hidden="false" customHeight="false" outlineLevel="0" collapsed="false">
      <c r="A158" s="5" t="n">
        <v>157</v>
      </c>
      <c r="B158" s="5" t="s">
        <v>1580</v>
      </c>
      <c r="C158" s="5" t="s">
        <v>1181</v>
      </c>
      <c r="D158" s="5" t="n">
        <v>4</v>
      </c>
      <c r="E158" s="5" t="n">
        <v>0</v>
      </c>
      <c r="F158" s="5" t="n">
        <v>0</v>
      </c>
      <c r="G158" s="5" t="s">
        <v>1581</v>
      </c>
      <c r="H158" s="5" t="s">
        <v>1582</v>
      </c>
    </row>
    <row r="159" customFormat="false" ht="15" hidden="false" customHeight="false" outlineLevel="0" collapsed="false">
      <c r="A159" s="5" t="n">
        <v>158</v>
      </c>
      <c r="B159" s="5" t="s">
        <v>1583</v>
      </c>
      <c r="C159" s="5" t="s">
        <v>1181</v>
      </c>
      <c r="D159" s="5" t="n">
        <v>4</v>
      </c>
      <c r="E159" s="5" t="n">
        <v>0</v>
      </c>
      <c r="F159" s="5" t="n">
        <v>0</v>
      </c>
      <c r="G159" s="5" t="s">
        <v>1584</v>
      </c>
      <c r="H159" s="5" t="s">
        <v>1585</v>
      </c>
    </row>
    <row r="160" customFormat="false" ht="15" hidden="false" customHeight="false" outlineLevel="0" collapsed="false">
      <c r="A160" s="5" t="n">
        <v>159</v>
      </c>
      <c r="B160" s="5" t="s">
        <v>1586</v>
      </c>
      <c r="C160" s="5" t="s">
        <v>1181</v>
      </c>
      <c r="D160" s="5" t="n">
        <v>4</v>
      </c>
      <c r="E160" s="5" t="n">
        <v>0</v>
      </c>
      <c r="F160" s="5" t="n">
        <v>0</v>
      </c>
      <c r="G160" s="5" t="s">
        <v>1587</v>
      </c>
      <c r="H160" s="5" t="s">
        <v>1588</v>
      </c>
    </row>
    <row r="161" customFormat="false" ht="15" hidden="false" customHeight="false" outlineLevel="0" collapsed="false">
      <c r="A161" s="5" t="n">
        <v>160</v>
      </c>
      <c r="B161" s="5" t="s">
        <v>1589</v>
      </c>
      <c r="C161" s="5" t="s">
        <v>1181</v>
      </c>
      <c r="D161" s="5" t="n">
        <v>4</v>
      </c>
      <c r="E161" s="5" t="n">
        <v>0</v>
      </c>
      <c r="F161" s="5" t="n">
        <v>0</v>
      </c>
      <c r="G161" s="5" t="s">
        <v>1590</v>
      </c>
      <c r="H161" s="5" t="s">
        <v>1591</v>
      </c>
    </row>
    <row r="162" customFormat="false" ht="15" hidden="false" customHeight="false" outlineLevel="0" collapsed="false">
      <c r="A162" s="5" t="n">
        <v>161</v>
      </c>
      <c r="B162" s="5" t="s">
        <v>1592</v>
      </c>
      <c r="C162" s="5" t="s">
        <v>1181</v>
      </c>
      <c r="D162" s="5" t="n">
        <v>4</v>
      </c>
      <c r="E162" s="5" t="n">
        <v>0</v>
      </c>
      <c r="F162" s="5" t="n">
        <v>0</v>
      </c>
      <c r="G162" s="5" t="s">
        <v>1593</v>
      </c>
      <c r="H162" s="5" t="s">
        <v>1565</v>
      </c>
    </row>
    <row r="163" customFormat="false" ht="15" hidden="false" customHeight="false" outlineLevel="0" collapsed="false">
      <c r="A163" s="5" t="n">
        <v>162</v>
      </c>
      <c r="B163" s="5" t="s">
        <v>1594</v>
      </c>
      <c r="C163" s="5" t="s">
        <v>1181</v>
      </c>
      <c r="D163" s="5" t="n">
        <v>4</v>
      </c>
      <c r="E163" s="5" t="n">
        <v>0</v>
      </c>
      <c r="F163" s="5" t="n">
        <v>0</v>
      </c>
      <c r="G163" s="5" t="s">
        <v>1595</v>
      </c>
      <c r="H163" s="5" t="s">
        <v>1596</v>
      </c>
    </row>
    <row r="164" customFormat="false" ht="15" hidden="false" customHeight="false" outlineLevel="0" collapsed="false">
      <c r="A164" s="5" t="n">
        <v>163</v>
      </c>
      <c r="B164" s="5" t="s">
        <v>656</v>
      </c>
      <c r="C164" s="5" t="s">
        <v>1176</v>
      </c>
      <c r="D164" s="5" t="n">
        <v>2</v>
      </c>
      <c r="E164" s="5" t="n">
        <v>0</v>
      </c>
      <c r="F164" s="5" t="n">
        <v>1</v>
      </c>
      <c r="G164" s="5" t="s">
        <v>1597</v>
      </c>
      <c r="H164" s="5" t="s">
        <v>1598</v>
      </c>
    </row>
    <row r="165" customFormat="false" ht="15" hidden="false" customHeight="false" outlineLevel="0" collapsed="false">
      <c r="A165" s="5" t="n">
        <v>164</v>
      </c>
      <c r="B165" s="5" t="s">
        <v>1599</v>
      </c>
      <c r="C165" s="5" t="s">
        <v>1181</v>
      </c>
      <c r="D165" s="5" t="n">
        <v>4</v>
      </c>
      <c r="E165" s="5" t="n">
        <v>0</v>
      </c>
      <c r="F165" s="5" t="n">
        <v>0</v>
      </c>
      <c r="G165" s="5" t="s">
        <v>1600</v>
      </c>
      <c r="H165" s="5" t="s">
        <v>1449</v>
      </c>
    </row>
    <row r="166" customFormat="false" ht="15" hidden="false" customHeight="false" outlineLevel="0" collapsed="false">
      <c r="A166" s="5" t="n">
        <v>165</v>
      </c>
      <c r="B166" s="5" t="s">
        <v>1601</v>
      </c>
      <c r="C166" s="5" t="s">
        <v>1181</v>
      </c>
      <c r="D166" s="5" t="n">
        <v>4</v>
      </c>
      <c r="E166" s="5" t="n">
        <v>0</v>
      </c>
      <c r="F166" s="5" t="n">
        <v>0</v>
      </c>
      <c r="G166" s="5" t="s">
        <v>1602</v>
      </c>
      <c r="H166" s="5" t="s">
        <v>1565</v>
      </c>
    </row>
    <row r="167" customFormat="false" ht="15" hidden="false" customHeight="false" outlineLevel="0" collapsed="false">
      <c r="A167" s="5" t="n">
        <v>166</v>
      </c>
      <c r="B167" s="5" t="s">
        <v>1603</v>
      </c>
      <c r="C167" s="5" t="s">
        <v>1181</v>
      </c>
      <c r="D167" s="5" t="n">
        <v>4</v>
      </c>
      <c r="E167" s="5" t="n">
        <v>0</v>
      </c>
      <c r="F167" s="5" t="n">
        <v>0</v>
      </c>
      <c r="G167" s="5" t="s">
        <v>1604</v>
      </c>
      <c r="H167" s="5" t="s">
        <v>1605</v>
      </c>
    </row>
    <row r="168" customFormat="false" ht="15" hidden="false" customHeight="false" outlineLevel="0" collapsed="false">
      <c r="A168" s="5" t="n">
        <v>167</v>
      </c>
      <c r="B168" s="5" t="s">
        <v>1606</v>
      </c>
      <c r="C168" s="5" t="s">
        <v>1181</v>
      </c>
      <c r="D168" s="5" t="n">
        <v>4</v>
      </c>
      <c r="E168" s="5" t="n">
        <v>0</v>
      </c>
      <c r="F168" s="5" t="n">
        <v>0</v>
      </c>
      <c r="G168" s="5" t="s">
        <v>1607</v>
      </c>
      <c r="H168" s="5" t="s">
        <v>1608</v>
      </c>
    </row>
    <row r="169" customFormat="false" ht="15" hidden="false" customHeight="false" outlineLevel="0" collapsed="false">
      <c r="A169" s="5" t="n">
        <v>168</v>
      </c>
      <c r="B169" s="5" t="s">
        <v>1609</v>
      </c>
      <c r="C169" s="5" t="s">
        <v>1181</v>
      </c>
      <c r="D169" s="5" t="n">
        <v>4</v>
      </c>
      <c r="E169" s="5" t="n">
        <v>0</v>
      </c>
      <c r="F169" s="5" t="n">
        <v>0</v>
      </c>
      <c r="G169" s="5" t="s">
        <v>1610</v>
      </c>
      <c r="H169" s="5" t="s">
        <v>1611</v>
      </c>
    </row>
    <row r="170" customFormat="false" ht="15" hidden="false" customHeight="false" outlineLevel="0" collapsed="false">
      <c r="A170" s="5" t="n">
        <v>169</v>
      </c>
      <c r="B170" s="5" t="s">
        <v>1612</v>
      </c>
      <c r="C170" s="5" t="s">
        <v>1181</v>
      </c>
      <c r="D170" s="5" t="n">
        <v>4</v>
      </c>
      <c r="E170" s="5" t="n">
        <v>0</v>
      </c>
      <c r="F170" s="5" t="n">
        <v>0</v>
      </c>
      <c r="G170" s="5" t="s">
        <v>1613</v>
      </c>
      <c r="H170" s="5" t="s">
        <v>1614</v>
      </c>
    </row>
    <row r="171" customFormat="false" ht="15" hidden="false" customHeight="false" outlineLevel="0" collapsed="false">
      <c r="A171" s="5" t="n">
        <v>170</v>
      </c>
      <c r="B171" s="5" t="s">
        <v>1615</v>
      </c>
      <c r="C171" s="5" t="s">
        <v>1181</v>
      </c>
      <c r="D171" s="5" t="n">
        <v>4</v>
      </c>
      <c r="E171" s="5" t="n">
        <v>0</v>
      </c>
      <c r="F171" s="5" t="n">
        <v>0</v>
      </c>
      <c r="G171" s="5" t="s">
        <v>1616</v>
      </c>
      <c r="H171" s="5" t="s">
        <v>1565</v>
      </c>
    </row>
    <row r="172" customFormat="false" ht="15" hidden="false" customHeight="false" outlineLevel="0" collapsed="false">
      <c r="A172" s="5" t="n">
        <v>171</v>
      </c>
      <c r="B172" s="5" t="s">
        <v>1617</v>
      </c>
      <c r="C172" s="5" t="s">
        <v>1181</v>
      </c>
      <c r="D172" s="5" t="n">
        <v>4</v>
      </c>
      <c r="E172" s="5" t="n">
        <v>0</v>
      </c>
      <c r="F172" s="5" t="n">
        <v>0</v>
      </c>
      <c r="G172" s="5" t="s">
        <v>1618</v>
      </c>
      <c r="H172" s="5" t="s">
        <v>1619</v>
      </c>
    </row>
    <row r="173" customFormat="false" ht="15" hidden="false" customHeight="false" outlineLevel="0" collapsed="false">
      <c r="A173" s="5" t="n">
        <v>172</v>
      </c>
      <c r="B173" s="5" t="s">
        <v>1620</v>
      </c>
      <c r="C173" s="5" t="s">
        <v>1181</v>
      </c>
      <c r="D173" s="5" t="n">
        <v>4</v>
      </c>
      <c r="E173" s="5" t="n">
        <v>0</v>
      </c>
      <c r="F173" s="5" t="n">
        <v>0</v>
      </c>
      <c r="G173" s="5" t="s">
        <v>1621</v>
      </c>
      <c r="H173" s="5" t="s">
        <v>1619</v>
      </c>
    </row>
    <row r="174" customFormat="false" ht="15" hidden="false" customHeight="false" outlineLevel="0" collapsed="false">
      <c r="A174" s="5" t="n">
        <v>173</v>
      </c>
      <c r="B174" s="5" t="s">
        <v>1622</v>
      </c>
      <c r="C174" s="5" t="s">
        <v>1181</v>
      </c>
      <c r="D174" s="5" t="n">
        <v>4</v>
      </c>
      <c r="E174" s="5" t="n">
        <v>0</v>
      </c>
      <c r="F174" s="5" t="n">
        <v>0</v>
      </c>
      <c r="G174" s="5" t="s">
        <v>1623</v>
      </c>
      <c r="H174" s="5" t="s">
        <v>1624</v>
      </c>
    </row>
    <row r="175" customFormat="false" ht="15" hidden="false" customHeight="false" outlineLevel="0" collapsed="false">
      <c r="A175" s="5" t="n">
        <v>174</v>
      </c>
      <c r="B175" s="5" t="s">
        <v>1625</v>
      </c>
      <c r="C175" s="5" t="s">
        <v>1181</v>
      </c>
      <c r="D175" s="5" t="n">
        <v>4</v>
      </c>
      <c r="E175" s="5" t="n">
        <v>0</v>
      </c>
      <c r="F175" s="5" t="n">
        <v>0</v>
      </c>
      <c r="G175" s="5" t="s">
        <v>1626</v>
      </c>
      <c r="H175" s="5" t="s">
        <v>1565</v>
      </c>
    </row>
    <row r="176" customFormat="false" ht="15" hidden="false" customHeight="false" outlineLevel="0" collapsed="false">
      <c r="A176" s="5" t="n">
        <v>175</v>
      </c>
      <c r="B176" s="5" t="s">
        <v>1627</v>
      </c>
      <c r="C176" s="5" t="s">
        <v>1181</v>
      </c>
      <c r="D176" s="5" t="n">
        <v>4</v>
      </c>
      <c r="E176" s="5" t="n">
        <v>0</v>
      </c>
      <c r="F176" s="5" t="n">
        <v>0</v>
      </c>
      <c r="G176" s="5" t="s">
        <v>1628</v>
      </c>
      <c r="H176" s="5" t="s">
        <v>1629</v>
      </c>
    </row>
    <row r="177" customFormat="false" ht="15" hidden="false" customHeight="false" outlineLevel="0" collapsed="false">
      <c r="A177" s="5" t="n">
        <v>176</v>
      </c>
      <c r="B177" s="5" t="s">
        <v>1630</v>
      </c>
      <c r="C177" s="5" t="s">
        <v>1181</v>
      </c>
      <c r="D177" s="5" t="n">
        <v>4</v>
      </c>
      <c r="E177" s="5" t="n">
        <v>0</v>
      </c>
      <c r="F177" s="5" t="n">
        <v>0</v>
      </c>
      <c r="G177" s="5" t="s">
        <v>1631</v>
      </c>
      <c r="H177" s="5" t="s">
        <v>1565</v>
      </c>
    </row>
    <row r="178" customFormat="false" ht="15" hidden="false" customHeight="false" outlineLevel="0" collapsed="false">
      <c r="A178" s="5" t="n">
        <v>177</v>
      </c>
      <c r="B178" s="5" t="s">
        <v>1632</v>
      </c>
      <c r="C178" s="5" t="s">
        <v>1181</v>
      </c>
      <c r="D178" s="5" t="n">
        <v>4</v>
      </c>
      <c r="E178" s="5" t="n">
        <v>0</v>
      </c>
      <c r="F178" s="5" t="n">
        <v>0</v>
      </c>
      <c r="G178" s="5" t="s">
        <v>1633</v>
      </c>
      <c r="H178" s="5" t="s">
        <v>1634</v>
      </c>
    </row>
    <row r="179" customFormat="false" ht="15" hidden="false" customHeight="false" outlineLevel="0" collapsed="false">
      <c r="A179" s="5" t="n">
        <v>178</v>
      </c>
      <c r="B179" s="5" t="s">
        <v>1635</v>
      </c>
      <c r="C179" s="5" t="s">
        <v>1176</v>
      </c>
      <c r="D179" s="5" t="n">
        <v>2</v>
      </c>
      <c r="E179" s="5" t="n">
        <v>0</v>
      </c>
      <c r="F179" s="5" t="n">
        <v>1</v>
      </c>
      <c r="G179" s="5" t="s">
        <v>1636</v>
      </c>
      <c r="H179" s="5" t="s">
        <v>1637</v>
      </c>
    </row>
    <row r="180" customFormat="false" ht="15" hidden="false" customHeight="false" outlineLevel="0" collapsed="false">
      <c r="A180" s="5" t="n">
        <v>179</v>
      </c>
      <c r="B180" s="5" t="s">
        <v>1638</v>
      </c>
      <c r="C180" s="5" t="s">
        <v>1181</v>
      </c>
      <c r="D180" s="5" t="n">
        <v>4</v>
      </c>
      <c r="E180" s="5" t="n">
        <v>0</v>
      </c>
      <c r="F180" s="5" t="n">
        <v>0</v>
      </c>
      <c r="G180" s="5" t="s">
        <v>1639</v>
      </c>
      <c r="H180" s="5" t="s">
        <v>1619</v>
      </c>
    </row>
    <row r="181" customFormat="false" ht="15" hidden="false" customHeight="false" outlineLevel="0" collapsed="false">
      <c r="A181" s="5" t="n">
        <v>180</v>
      </c>
      <c r="B181" s="5" t="s">
        <v>1640</v>
      </c>
      <c r="C181" s="5" t="s">
        <v>1181</v>
      </c>
      <c r="D181" s="5" t="n">
        <v>4</v>
      </c>
      <c r="E181" s="5" t="n">
        <v>0</v>
      </c>
      <c r="F181" s="5" t="n">
        <v>0</v>
      </c>
      <c r="G181" s="5" t="s">
        <v>1641</v>
      </c>
      <c r="H181" s="5" t="s">
        <v>1642</v>
      </c>
    </row>
    <row r="182" customFormat="false" ht="15" hidden="false" customHeight="false" outlineLevel="0" collapsed="false">
      <c r="A182" s="5" t="n">
        <v>181</v>
      </c>
      <c r="B182" s="5" t="s">
        <v>1067</v>
      </c>
      <c r="C182" s="5" t="s">
        <v>1181</v>
      </c>
      <c r="D182" s="5" t="n">
        <v>4</v>
      </c>
      <c r="E182" s="5" t="n">
        <v>0</v>
      </c>
      <c r="F182" s="5" t="n">
        <v>0</v>
      </c>
      <c r="G182" s="5" t="s">
        <v>1643</v>
      </c>
      <c r="H182" s="5" t="s">
        <v>1644</v>
      </c>
    </row>
    <row r="183" customFormat="false" ht="15" hidden="false" customHeight="false" outlineLevel="0" collapsed="false">
      <c r="A183" s="5" t="n">
        <v>182</v>
      </c>
      <c r="B183" s="5" t="s">
        <v>1645</v>
      </c>
      <c r="C183" s="5" t="s">
        <v>1181</v>
      </c>
      <c r="D183" s="5" t="n">
        <v>4</v>
      </c>
      <c r="E183" s="5" t="n">
        <v>0</v>
      </c>
      <c r="F183" s="5" t="n">
        <v>0</v>
      </c>
      <c r="G183" s="5" t="s">
        <v>1646</v>
      </c>
      <c r="H183" s="5" t="s">
        <v>1619</v>
      </c>
    </row>
    <row r="184" customFormat="false" ht="15" hidden="false" customHeight="false" outlineLevel="0" collapsed="false">
      <c r="A184" s="5" t="n">
        <v>183</v>
      </c>
      <c r="B184" s="5" t="s">
        <v>1647</v>
      </c>
      <c r="C184" s="5" t="s">
        <v>1181</v>
      </c>
      <c r="D184" s="5" t="n">
        <v>4</v>
      </c>
      <c r="E184" s="5" t="n">
        <v>0</v>
      </c>
      <c r="F184" s="5" t="n">
        <v>0</v>
      </c>
      <c r="G184" s="5" t="s">
        <v>1648</v>
      </c>
      <c r="H184" s="5" t="s">
        <v>1565</v>
      </c>
    </row>
    <row r="185" customFormat="false" ht="15" hidden="false" customHeight="false" outlineLevel="0" collapsed="false">
      <c r="A185" s="5" t="n">
        <v>184</v>
      </c>
      <c r="B185" s="5" t="s">
        <v>1649</v>
      </c>
      <c r="C185" s="5" t="s">
        <v>1176</v>
      </c>
      <c r="D185" s="5" t="n">
        <v>4</v>
      </c>
      <c r="E185" s="5" t="n">
        <v>0</v>
      </c>
      <c r="F185" s="5" t="n">
        <v>0</v>
      </c>
      <c r="G185" s="5" t="s">
        <v>1650</v>
      </c>
      <c r="H185" s="5" t="s">
        <v>1651</v>
      </c>
    </row>
    <row r="186" customFormat="false" ht="15" hidden="false" customHeight="false" outlineLevel="0" collapsed="false">
      <c r="A186" s="5" t="n">
        <v>185</v>
      </c>
      <c r="B186" s="5" t="s">
        <v>1652</v>
      </c>
      <c r="C186" s="5" t="s">
        <v>1181</v>
      </c>
      <c r="D186" s="5" t="n">
        <v>4</v>
      </c>
      <c r="E186" s="5" t="n">
        <v>0</v>
      </c>
      <c r="F186" s="5" t="n">
        <v>0</v>
      </c>
      <c r="G186" s="5" t="s">
        <v>1653</v>
      </c>
      <c r="H186" s="5" t="s">
        <v>1654</v>
      </c>
    </row>
    <row r="187" customFormat="false" ht="15" hidden="false" customHeight="false" outlineLevel="0" collapsed="false">
      <c r="A187" s="5" t="n">
        <v>186</v>
      </c>
      <c r="B187" s="5" t="s">
        <v>1655</v>
      </c>
      <c r="C187" s="5" t="s">
        <v>1181</v>
      </c>
      <c r="D187" s="5" t="n">
        <v>4</v>
      </c>
      <c r="E187" s="5" t="n">
        <v>0</v>
      </c>
      <c r="F187" s="5" t="n">
        <v>0</v>
      </c>
      <c r="G187" s="5" t="s">
        <v>1656</v>
      </c>
      <c r="H187" s="5" t="s">
        <v>1657</v>
      </c>
    </row>
    <row r="188" customFormat="false" ht="15" hidden="false" customHeight="false" outlineLevel="0" collapsed="false">
      <c r="A188" s="5" t="n">
        <v>187</v>
      </c>
      <c r="B188" s="5" t="s">
        <v>1658</v>
      </c>
      <c r="C188" s="5" t="s">
        <v>1181</v>
      </c>
      <c r="D188" s="5" t="n">
        <v>4</v>
      </c>
      <c r="E188" s="5" t="n">
        <v>0</v>
      </c>
      <c r="F188" s="5" t="n">
        <v>0</v>
      </c>
      <c r="G188" s="5" t="s">
        <v>1659</v>
      </c>
      <c r="H188" s="5" t="s">
        <v>1660</v>
      </c>
    </row>
    <row r="189" customFormat="false" ht="15" hidden="false" customHeight="false" outlineLevel="0" collapsed="false">
      <c r="A189" s="5" t="n">
        <v>188</v>
      </c>
      <c r="B189" s="5" t="s">
        <v>1661</v>
      </c>
      <c r="C189" s="5" t="s">
        <v>1181</v>
      </c>
      <c r="D189" s="5" t="n">
        <v>4</v>
      </c>
      <c r="E189" s="5" t="n">
        <v>0</v>
      </c>
      <c r="F189" s="5" t="n">
        <v>0</v>
      </c>
      <c r="G189" s="5" t="s">
        <v>1662</v>
      </c>
      <c r="H189" s="5" t="s">
        <v>1663</v>
      </c>
    </row>
    <row r="190" customFormat="false" ht="15" hidden="false" customHeight="false" outlineLevel="0" collapsed="false">
      <c r="A190" s="5" t="n">
        <v>189</v>
      </c>
      <c r="B190" s="5" t="s">
        <v>1664</v>
      </c>
      <c r="C190" s="5" t="s">
        <v>1181</v>
      </c>
      <c r="D190" s="5" t="n">
        <v>4</v>
      </c>
      <c r="E190" s="5" t="n">
        <v>0</v>
      </c>
      <c r="F190" s="5" t="n">
        <v>0</v>
      </c>
      <c r="G190" s="5" t="s">
        <v>1665</v>
      </c>
      <c r="H190" s="5" t="s">
        <v>1666</v>
      </c>
    </row>
    <row r="191" customFormat="false" ht="15" hidden="false" customHeight="false" outlineLevel="0" collapsed="false">
      <c r="A191" s="5" t="n">
        <v>190</v>
      </c>
      <c r="B191" s="5" t="s">
        <v>1072</v>
      </c>
      <c r="C191" s="5" t="s">
        <v>1181</v>
      </c>
      <c r="D191" s="5" t="n">
        <v>4</v>
      </c>
      <c r="E191" s="5" t="n">
        <v>0</v>
      </c>
      <c r="F191" s="5" t="n">
        <v>0</v>
      </c>
      <c r="G191" s="5" t="s">
        <v>1667</v>
      </c>
      <c r="H191" s="5" t="s">
        <v>1668</v>
      </c>
    </row>
    <row r="192" customFormat="false" ht="15" hidden="false" customHeight="false" outlineLevel="0" collapsed="false">
      <c r="A192" s="5" t="n">
        <v>191</v>
      </c>
      <c r="B192" s="5" t="s">
        <v>1669</v>
      </c>
      <c r="C192" s="5" t="s">
        <v>1181</v>
      </c>
      <c r="D192" s="5" t="n">
        <v>4</v>
      </c>
      <c r="E192" s="5" t="n">
        <v>0</v>
      </c>
      <c r="F192" s="5" t="n">
        <v>0</v>
      </c>
      <c r="G192" s="5" t="s">
        <v>1670</v>
      </c>
      <c r="H192" s="5" t="s">
        <v>1671</v>
      </c>
    </row>
    <row r="193" customFormat="false" ht="15" hidden="false" customHeight="false" outlineLevel="0" collapsed="false">
      <c r="A193" s="5" t="n">
        <v>192</v>
      </c>
      <c r="B193" s="5" t="s">
        <v>1672</v>
      </c>
      <c r="C193" s="5" t="s">
        <v>1176</v>
      </c>
      <c r="D193" s="5" t="n">
        <v>2</v>
      </c>
      <c r="E193" s="5" t="n">
        <v>0</v>
      </c>
      <c r="F193" s="5" t="n">
        <v>1</v>
      </c>
      <c r="G193" s="5" t="s">
        <v>1673</v>
      </c>
      <c r="H193" s="5" t="s">
        <v>1674</v>
      </c>
    </row>
    <row r="194" customFormat="false" ht="15" hidden="false" customHeight="false" outlineLevel="0" collapsed="false">
      <c r="A194" s="5" t="n">
        <v>193</v>
      </c>
      <c r="B194" s="5" t="s">
        <v>1675</v>
      </c>
      <c r="C194" s="5" t="s">
        <v>1181</v>
      </c>
      <c r="D194" s="5" t="n">
        <v>4</v>
      </c>
      <c r="E194" s="5" t="n">
        <v>0</v>
      </c>
      <c r="F194" s="5" t="n">
        <v>0</v>
      </c>
      <c r="G194" s="5" t="s">
        <v>1676</v>
      </c>
      <c r="H194" s="5" t="s">
        <v>1677</v>
      </c>
    </row>
    <row r="195" customFormat="false" ht="15" hidden="false" customHeight="false" outlineLevel="0" collapsed="false">
      <c r="A195" s="5" t="n">
        <v>194</v>
      </c>
      <c r="B195" s="5" t="s">
        <v>1678</v>
      </c>
      <c r="C195" s="5" t="s">
        <v>1181</v>
      </c>
      <c r="D195" s="5" t="n">
        <v>4</v>
      </c>
      <c r="E195" s="5" t="n">
        <v>0</v>
      </c>
      <c r="F195" s="5" t="n">
        <v>0</v>
      </c>
      <c r="G195" s="5" t="s">
        <v>1679</v>
      </c>
      <c r="H195" s="5" t="s">
        <v>1680</v>
      </c>
    </row>
    <row r="196" customFormat="false" ht="15" hidden="false" customHeight="false" outlineLevel="0" collapsed="false">
      <c r="A196" s="5" t="n">
        <v>195</v>
      </c>
      <c r="B196" s="5" t="s">
        <v>1681</v>
      </c>
      <c r="C196" s="5" t="s">
        <v>1176</v>
      </c>
      <c r="D196" s="5" t="n">
        <v>4</v>
      </c>
      <c r="E196" s="5" t="n">
        <v>0</v>
      </c>
      <c r="F196" s="5" t="n">
        <v>0</v>
      </c>
      <c r="G196" s="5" t="s">
        <v>1682</v>
      </c>
      <c r="H196" s="5" t="s">
        <v>1683</v>
      </c>
    </row>
    <row r="197" customFormat="false" ht="15" hidden="false" customHeight="false" outlineLevel="0" collapsed="false">
      <c r="A197" s="5" t="n">
        <v>196</v>
      </c>
      <c r="B197" s="5" t="s">
        <v>1684</v>
      </c>
      <c r="C197" s="5" t="s">
        <v>1181</v>
      </c>
      <c r="D197" s="5" t="n">
        <v>4</v>
      </c>
      <c r="E197" s="5" t="n">
        <v>0</v>
      </c>
      <c r="F197" s="5" t="n">
        <v>0</v>
      </c>
      <c r="G197" s="5" t="s">
        <v>1685</v>
      </c>
      <c r="H197" s="5" t="s">
        <v>1686</v>
      </c>
    </row>
    <row r="198" customFormat="false" ht="15" hidden="false" customHeight="false" outlineLevel="0" collapsed="false">
      <c r="A198" s="5" t="n">
        <v>197</v>
      </c>
      <c r="B198" s="5" t="s">
        <v>1687</v>
      </c>
      <c r="C198" s="5" t="s">
        <v>1181</v>
      </c>
      <c r="D198" s="5" t="n">
        <v>3</v>
      </c>
      <c r="E198" s="5" t="n">
        <v>0</v>
      </c>
      <c r="F198" s="5" t="n">
        <v>0</v>
      </c>
      <c r="G198" s="5" t="s">
        <v>1688</v>
      </c>
      <c r="H198" s="5" t="s">
        <v>1689</v>
      </c>
    </row>
    <row r="199" customFormat="false" ht="15" hidden="false" customHeight="false" outlineLevel="0" collapsed="false">
      <c r="A199" s="5" t="n">
        <v>198</v>
      </c>
      <c r="B199" s="5" t="s">
        <v>67</v>
      </c>
      <c r="C199" s="5" t="s">
        <v>1181</v>
      </c>
      <c r="D199" s="5" t="n">
        <v>3</v>
      </c>
      <c r="E199" s="5" t="n">
        <v>0</v>
      </c>
      <c r="F199" s="5" t="n">
        <v>0</v>
      </c>
      <c r="G199" s="5" t="s">
        <v>1690</v>
      </c>
      <c r="H199" s="5" t="s">
        <v>1691</v>
      </c>
    </row>
    <row r="200" customFormat="false" ht="15" hidden="false" customHeight="false" outlineLevel="0" collapsed="false">
      <c r="A200" s="5" t="n">
        <v>199</v>
      </c>
      <c r="B200" s="5" t="s">
        <v>841</v>
      </c>
      <c r="C200" s="5" t="s">
        <v>1181</v>
      </c>
      <c r="D200" s="5" t="n">
        <v>1</v>
      </c>
      <c r="E200" s="5" t="n">
        <v>0</v>
      </c>
      <c r="F200" s="5" t="n">
        <v>1</v>
      </c>
      <c r="G200" s="5" t="s">
        <v>1692</v>
      </c>
      <c r="H200" s="5" t="s">
        <v>839</v>
      </c>
    </row>
    <row r="201" customFormat="false" ht="15" hidden="false" customHeight="false" outlineLevel="0" collapsed="false">
      <c r="A201" s="5" t="n">
        <v>200</v>
      </c>
      <c r="B201" s="5" t="s">
        <v>1693</v>
      </c>
      <c r="C201" s="5" t="s">
        <v>1181</v>
      </c>
      <c r="D201" s="5" t="n">
        <v>3</v>
      </c>
      <c r="E201" s="5" t="n">
        <v>0</v>
      </c>
      <c r="F201" s="5" t="n">
        <v>0</v>
      </c>
      <c r="G201" s="5" t="s">
        <v>1694</v>
      </c>
      <c r="H201" s="5" t="s">
        <v>1695</v>
      </c>
    </row>
    <row r="202" customFormat="false" ht="15" hidden="false" customHeight="false" outlineLevel="0" collapsed="false">
      <c r="A202" s="5" t="n">
        <v>201</v>
      </c>
      <c r="B202" s="5" t="s">
        <v>1696</v>
      </c>
      <c r="C202" s="5" t="s">
        <v>1181</v>
      </c>
      <c r="D202" s="5" t="n">
        <v>3</v>
      </c>
      <c r="E202" s="5" t="n">
        <v>0</v>
      </c>
      <c r="F202" s="5" t="n">
        <v>0</v>
      </c>
      <c r="G202" s="5" t="s">
        <v>1697</v>
      </c>
      <c r="H202" s="5" t="s">
        <v>1698</v>
      </c>
    </row>
    <row r="203" customFormat="false" ht="15" hidden="false" customHeight="false" outlineLevel="0" collapsed="false">
      <c r="A203" s="5" t="n">
        <v>202</v>
      </c>
      <c r="B203" s="5" t="s">
        <v>1699</v>
      </c>
      <c r="C203" s="5" t="s">
        <v>1181</v>
      </c>
      <c r="D203" s="5" t="n">
        <v>3</v>
      </c>
      <c r="E203" s="5" t="n">
        <v>0</v>
      </c>
      <c r="F203" s="5" t="n">
        <v>0</v>
      </c>
      <c r="G203" s="5" t="s">
        <v>1700</v>
      </c>
      <c r="H203" s="5" t="s">
        <v>1701</v>
      </c>
    </row>
    <row r="204" customFormat="false" ht="15" hidden="false" customHeight="false" outlineLevel="0" collapsed="false">
      <c r="A204" s="5" t="n">
        <v>203</v>
      </c>
      <c r="B204" s="5" t="s">
        <v>1702</v>
      </c>
      <c r="C204" s="5" t="s">
        <v>1181</v>
      </c>
      <c r="D204" s="5" t="n">
        <v>3</v>
      </c>
      <c r="E204" s="5" t="n">
        <v>0</v>
      </c>
      <c r="F204" s="5" t="n">
        <v>0</v>
      </c>
      <c r="G204" s="5" t="s">
        <v>1703</v>
      </c>
      <c r="H204" s="5" t="s">
        <v>1704</v>
      </c>
    </row>
    <row r="205" customFormat="false" ht="15" hidden="false" customHeight="false" outlineLevel="0" collapsed="false">
      <c r="A205" s="5" t="n">
        <v>204</v>
      </c>
      <c r="B205" s="5" t="s">
        <v>1705</v>
      </c>
      <c r="C205" s="5" t="s">
        <v>1181</v>
      </c>
      <c r="D205" s="5" t="n">
        <v>3</v>
      </c>
      <c r="E205" s="5" t="n">
        <v>0</v>
      </c>
      <c r="F205" s="5" t="n">
        <v>0</v>
      </c>
      <c r="G205" s="5" t="s">
        <v>1706</v>
      </c>
      <c r="H205" s="5" t="s">
        <v>1707</v>
      </c>
    </row>
    <row r="206" customFormat="false" ht="15" hidden="false" customHeight="false" outlineLevel="0" collapsed="false">
      <c r="A206" s="5" t="n">
        <v>205</v>
      </c>
      <c r="B206" s="5" t="s">
        <v>1708</v>
      </c>
      <c r="C206" s="5" t="s">
        <v>1181</v>
      </c>
      <c r="D206" s="5" t="n">
        <v>3</v>
      </c>
      <c r="E206" s="5" t="n">
        <v>0</v>
      </c>
      <c r="F206" s="5" t="n">
        <v>0</v>
      </c>
      <c r="G206" s="5" t="s">
        <v>1709</v>
      </c>
      <c r="H206" s="5" t="s">
        <v>1710</v>
      </c>
    </row>
    <row r="207" customFormat="false" ht="15" hidden="false" customHeight="false" outlineLevel="0" collapsed="false">
      <c r="A207" s="5" t="n">
        <v>206</v>
      </c>
      <c r="B207" s="5" t="s">
        <v>167</v>
      </c>
      <c r="C207" s="5" t="s">
        <v>1181</v>
      </c>
      <c r="D207" s="5" t="n">
        <v>3</v>
      </c>
      <c r="E207" s="5" t="n">
        <v>0</v>
      </c>
      <c r="F207" s="5" t="n">
        <v>0</v>
      </c>
      <c r="G207" s="5" t="s">
        <v>1711</v>
      </c>
      <c r="H207" s="5" t="s">
        <v>1712</v>
      </c>
    </row>
    <row r="208" customFormat="false" ht="15" hidden="false" customHeight="false" outlineLevel="0" collapsed="false">
      <c r="A208" s="5" t="n">
        <v>207</v>
      </c>
      <c r="B208" s="5" t="s">
        <v>1713</v>
      </c>
      <c r="C208" s="5" t="s">
        <v>1181</v>
      </c>
      <c r="D208" s="5" t="n">
        <v>3</v>
      </c>
      <c r="E208" s="5" t="n">
        <v>0</v>
      </c>
      <c r="F208" s="5" t="n">
        <v>0</v>
      </c>
      <c r="G208" s="5" t="s">
        <v>1714</v>
      </c>
      <c r="H208" s="5" t="s">
        <v>1715</v>
      </c>
    </row>
    <row r="209" customFormat="false" ht="15" hidden="false" customHeight="false" outlineLevel="0" collapsed="false">
      <c r="A209" s="5" t="n">
        <v>208</v>
      </c>
      <c r="B209" s="5" t="s">
        <v>1108</v>
      </c>
      <c r="C209" s="5" t="s">
        <v>1181</v>
      </c>
      <c r="D209" s="5" t="n">
        <v>3</v>
      </c>
      <c r="E209" s="5" t="n">
        <v>0</v>
      </c>
      <c r="F209" s="5" t="n">
        <v>0</v>
      </c>
      <c r="G209" s="5" t="s">
        <v>1716</v>
      </c>
      <c r="H209" s="5" t="s">
        <v>1717</v>
      </c>
    </row>
    <row r="210" customFormat="false" ht="15" hidden="false" customHeight="false" outlineLevel="0" collapsed="false">
      <c r="A210" s="5" t="n">
        <v>209</v>
      </c>
      <c r="B210" s="5" t="s">
        <v>1718</v>
      </c>
      <c r="C210" s="5" t="s">
        <v>1181</v>
      </c>
      <c r="D210" s="5" t="n">
        <v>3</v>
      </c>
      <c r="E210" s="5" t="n">
        <v>0</v>
      </c>
      <c r="F210" s="5" t="n">
        <v>0</v>
      </c>
      <c r="G210" s="5" t="s">
        <v>1719</v>
      </c>
      <c r="H210" s="5" t="s">
        <v>1720</v>
      </c>
    </row>
    <row r="211" customFormat="false" ht="15" hidden="false" customHeight="false" outlineLevel="0" collapsed="false">
      <c r="A211" s="5" t="n">
        <v>210</v>
      </c>
      <c r="B211" s="5" t="s">
        <v>1721</v>
      </c>
      <c r="C211" s="5" t="s">
        <v>1181</v>
      </c>
      <c r="D211" s="5" t="n">
        <v>3</v>
      </c>
      <c r="E211" s="5" t="n">
        <v>0</v>
      </c>
      <c r="F211" s="5" t="n">
        <v>0</v>
      </c>
      <c r="G211" s="5" t="s">
        <v>1722</v>
      </c>
      <c r="H211" s="5" t="s">
        <v>1723</v>
      </c>
    </row>
    <row r="212" customFormat="false" ht="15" hidden="false" customHeight="false" outlineLevel="0" collapsed="false">
      <c r="A212" s="5" t="n">
        <v>211</v>
      </c>
      <c r="B212" s="5" t="s">
        <v>1724</v>
      </c>
      <c r="C212" s="5" t="s">
        <v>1176</v>
      </c>
      <c r="D212" s="5" t="n">
        <v>3</v>
      </c>
      <c r="E212" s="5" t="n">
        <v>0</v>
      </c>
      <c r="F212" s="5" t="n">
        <v>0</v>
      </c>
      <c r="G212" s="5" t="s">
        <v>1725</v>
      </c>
      <c r="H212" s="5" t="s">
        <v>1726</v>
      </c>
    </row>
    <row r="213" customFormat="false" ht="15" hidden="false" customHeight="false" outlineLevel="0" collapsed="false">
      <c r="A213" s="5" t="n">
        <v>212</v>
      </c>
      <c r="B213" s="5" t="s">
        <v>1727</v>
      </c>
      <c r="C213" s="5" t="s">
        <v>1181</v>
      </c>
      <c r="D213" s="5" t="n">
        <v>3</v>
      </c>
      <c r="E213" s="5" t="n">
        <v>0</v>
      </c>
      <c r="F213" s="5" t="n">
        <v>0</v>
      </c>
      <c r="G213" s="5" t="s">
        <v>1728</v>
      </c>
      <c r="H213" s="5" t="s">
        <v>1729</v>
      </c>
    </row>
    <row r="214" customFormat="false" ht="15" hidden="false" customHeight="false" outlineLevel="0" collapsed="false">
      <c r="A214" s="5" t="n">
        <v>213</v>
      </c>
      <c r="B214" s="5" t="s">
        <v>1730</v>
      </c>
      <c r="C214" s="5" t="s">
        <v>1181</v>
      </c>
      <c r="D214" s="5" t="n">
        <v>3</v>
      </c>
      <c r="E214" s="5" t="n">
        <v>0</v>
      </c>
      <c r="F214" s="5" t="n">
        <v>0</v>
      </c>
      <c r="G214" s="5" t="s">
        <v>1731</v>
      </c>
      <c r="H214" s="5" t="s">
        <v>1732</v>
      </c>
    </row>
    <row r="215" customFormat="false" ht="15" hidden="false" customHeight="false" outlineLevel="0" collapsed="false">
      <c r="A215" s="5" t="n">
        <v>214</v>
      </c>
      <c r="B215" s="5" t="s">
        <v>1733</v>
      </c>
      <c r="C215" s="5" t="s">
        <v>1181</v>
      </c>
      <c r="D215" s="5" t="n">
        <v>1</v>
      </c>
      <c r="E215" s="5" t="n">
        <v>0</v>
      </c>
      <c r="F215" s="5" t="n">
        <v>1</v>
      </c>
      <c r="G215" s="5" t="s">
        <v>1734</v>
      </c>
      <c r="H215" s="5" t="s">
        <v>839</v>
      </c>
    </row>
    <row r="216" customFormat="false" ht="15" hidden="false" customHeight="false" outlineLevel="0" collapsed="false">
      <c r="A216" s="5" t="n">
        <v>215</v>
      </c>
      <c r="B216" s="5" t="s">
        <v>1735</v>
      </c>
      <c r="C216" s="5" t="s">
        <v>1181</v>
      </c>
      <c r="D216" s="5" t="n">
        <v>3</v>
      </c>
      <c r="E216" s="5" t="n">
        <v>0</v>
      </c>
      <c r="F216" s="5" t="n">
        <v>0</v>
      </c>
      <c r="G216" s="5" t="s">
        <v>1736</v>
      </c>
      <c r="H216" s="5" t="s">
        <v>1737</v>
      </c>
    </row>
    <row r="217" customFormat="false" ht="15" hidden="false" customHeight="false" outlineLevel="0" collapsed="false">
      <c r="A217" s="5" t="n">
        <v>216</v>
      </c>
      <c r="B217" s="5" t="s">
        <v>549</v>
      </c>
      <c r="C217" s="5" t="s">
        <v>1181</v>
      </c>
      <c r="D217" s="5" t="n">
        <v>3</v>
      </c>
      <c r="E217" s="5" t="n">
        <v>0</v>
      </c>
      <c r="F217" s="5" t="n">
        <v>0</v>
      </c>
      <c r="G217" s="5" t="s">
        <v>1738</v>
      </c>
      <c r="H217" s="5" t="s">
        <v>1739</v>
      </c>
    </row>
    <row r="218" customFormat="false" ht="15" hidden="false" customHeight="false" outlineLevel="0" collapsed="false">
      <c r="A218" s="5" t="n">
        <v>217</v>
      </c>
      <c r="B218" s="5" t="s">
        <v>1740</v>
      </c>
      <c r="C218" s="5" t="s">
        <v>1181</v>
      </c>
      <c r="D218" s="5" t="n">
        <v>3</v>
      </c>
      <c r="E218" s="5" t="n">
        <v>0</v>
      </c>
      <c r="F218" s="5" t="n">
        <v>0</v>
      </c>
      <c r="G218" s="5" t="s">
        <v>1741</v>
      </c>
      <c r="H218" s="5" t="s">
        <v>1695</v>
      </c>
    </row>
    <row r="219" customFormat="false" ht="15" hidden="false" customHeight="false" outlineLevel="0" collapsed="false">
      <c r="A219" s="5" t="n">
        <v>218</v>
      </c>
      <c r="B219" s="5" t="s">
        <v>1742</v>
      </c>
      <c r="C219" s="5" t="s">
        <v>1181</v>
      </c>
      <c r="D219" s="5" t="n">
        <v>3</v>
      </c>
      <c r="E219" s="5" t="n">
        <v>0</v>
      </c>
      <c r="F219" s="5" t="n">
        <v>0</v>
      </c>
      <c r="G219" s="5" t="s">
        <v>1743</v>
      </c>
      <c r="H219" s="5" t="s">
        <v>1744</v>
      </c>
    </row>
    <row r="220" customFormat="false" ht="15" hidden="false" customHeight="false" outlineLevel="0" collapsed="false">
      <c r="A220" s="5" t="n">
        <v>219</v>
      </c>
      <c r="B220" s="5" t="s">
        <v>1745</v>
      </c>
      <c r="C220" s="5" t="s">
        <v>1181</v>
      </c>
      <c r="D220" s="5" t="n">
        <v>3</v>
      </c>
      <c r="E220" s="5" t="n">
        <v>0</v>
      </c>
      <c r="F220" s="5" t="n">
        <v>0</v>
      </c>
      <c r="G220" s="5" t="s">
        <v>1746</v>
      </c>
      <c r="H220" s="5" t="s">
        <v>1747</v>
      </c>
    </row>
    <row r="221" customFormat="false" ht="15" hidden="false" customHeight="false" outlineLevel="0" collapsed="false">
      <c r="A221" s="5" t="n">
        <v>220</v>
      </c>
      <c r="B221" s="5" t="s">
        <v>1748</v>
      </c>
      <c r="C221" s="5" t="s">
        <v>1181</v>
      </c>
      <c r="D221" s="5" t="n">
        <v>3</v>
      </c>
      <c r="E221" s="5" t="n">
        <v>0</v>
      </c>
      <c r="F221" s="5" t="n">
        <v>0</v>
      </c>
      <c r="G221" s="5" t="s">
        <v>1749</v>
      </c>
      <c r="H221" s="5" t="s">
        <v>1750</v>
      </c>
    </row>
    <row r="222" customFormat="false" ht="15" hidden="false" customHeight="false" outlineLevel="0" collapsed="false">
      <c r="A222" s="5" t="n">
        <v>221</v>
      </c>
      <c r="B222" s="5" t="s">
        <v>494</v>
      </c>
      <c r="C222" s="5" t="s">
        <v>1181</v>
      </c>
      <c r="D222" s="5" t="n">
        <v>3</v>
      </c>
      <c r="E222" s="5" t="n">
        <v>0</v>
      </c>
      <c r="F222" s="5" t="n">
        <v>0</v>
      </c>
      <c r="G222" s="5" t="s">
        <v>1751</v>
      </c>
      <c r="H222" s="5" t="s">
        <v>1752</v>
      </c>
    </row>
    <row r="223" customFormat="false" ht="15" hidden="false" customHeight="false" outlineLevel="0" collapsed="false">
      <c r="A223" s="5" t="n">
        <v>222</v>
      </c>
      <c r="B223" s="5" t="s">
        <v>1753</v>
      </c>
      <c r="C223" s="5" t="s">
        <v>1181</v>
      </c>
      <c r="D223" s="5" t="n">
        <v>3</v>
      </c>
      <c r="E223" s="5" t="n">
        <v>0</v>
      </c>
      <c r="F223" s="5" t="n">
        <v>0</v>
      </c>
      <c r="G223" s="5" t="s">
        <v>1754</v>
      </c>
      <c r="H223" s="5" t="s">
        <v>1755</v>
      </c>
    </row>
    <row r="224" customFormat="false" ht="15" hidden="false" customHeight="false" outlineLevel="0" collapsed="false">
      <c r="A224" s="5" t="n">
        <v>223</v>
      </c>
      <c r="B224" s="5" t="s">
        <v>1756</v>
      </c>
      <c r="C224" s="5" t="s">
        <v>1181</v>
      </c>
      <c r="D224" s="5" t="n">
        <v>3</v>
      </c>
      <c r="E224" s="5" t="n">
        <v>0</v>
      </c>
      <c r="F224" s="5" t="n">
        <v>0</v>
      </c>
      <c r="G224" s="5" t="s">
        <v>1757</v>
      </c>
      <c r="H224" s="5" t="s">
        <v>1758</v>
      </c>
    </row>
    <row r="225" customFormat="false" ht="15" hidden="false" customHeight="false" outlineLevel="0" collapsed="false">
      <c r="A225" s="5" t="n">
        <v>224</v>
      </c>
      <c r="B225" s="5" t="s">
        <v>1759</v>
      </c>
      <c r="C225" s="5" t="s">
        <v>1181</v>
      </c>
      <c r="D225" s="5" t="n">
        <v>3</v>
      </c>
      <c r="E225" s="5" t="n">
        <v>0</v>
      </c>
      <c r="F225" s="5" t="n">
        <v>0</v>
      </c>
      <c r="G225" s="5" t="s">
        <v>1760</v>
      </c>
      <c r="H225" s="5" t="s">
        <v>1689</v>
      </c>
    </row>
    <row r="226" customFormat="false" ht="15" hidden="false" customHeight="false" outlineLevel="0" collapsed="false">
      <c r="A226" s="5" t="n">
        <v>225</v>
      </c>
      <c r="B226" s="5" t="s">
        <v>469</v>
      </c>
      <c r="C226" s="5" t="s">
        <v>1181</v>
      </c>
      <c r="D226" s="5" t="n">
        <v>3</v>
      </c>
      <c r="E226" s="5" t="n">
        <v>0</v>
      </c>
      <c r="F226" s="5" t="n">
        <v>0</v>
      </c>
      <c r="G226" s="5" t="s">
        <v>1761</v>
      </c>
      <c r="H226" s="5" t="s">
        <v>1762</v>
      </c>
    </row>
    <row r="227" customFormat="false" ht="15" hidden="false" customHeight="false" outlineLevel="0" collapsed="false">
      <c r="A227" s="5" t="n">
        <v>226</v>
      </c>
      <c r="B227" s="5" t="s">
        <v>1763</v>
      </c>
      <c r="C227" s="5" t="s">
        <v>1181</v>
      </c>
      <c r="D227" s="5" t="n">
        <v>3</v>
      </c>
      <c r="E227" s="5" t="n">
        <v>0</v>
      </c>
      <c r="F227" s="5" t="n">
        <v>0</v>
      </c>
      <c r="G227" s="5" t="s">
        <v>1764</v>
      </c>
      <c r="H227" s="5" t="s">
        <v>1765</v>
      </c>
    </row>
    <row r="228" customFormat="false" ht="15" hidden="false" customHeight="false" outlineLevel="0" collapsed="false">
      <c r="A228" s="5" t="n">
        <v>227</v>
      </c>
      <c r="B228" s="5" t="s">
        <v>1766</v>
      </c>
      <c r="C228" s="5" t="s">
        <v>1181</v>
      </c>
      <c r="D228" s="5" t="n">
        <v>3</v>
      </c>
      <c r="E228" s="5" t="n">
        <v>0</v>
      </c>
      <c r="F228" s="5" t="n">
        <v>0</v>
      </c>
      <c r="G228" s="5" t="s">
        <v>1767</v>
      </c>
      <c r="H228" s="5" t="s">
        <v>1768</v>
      </c>
    </row>
    <row r="229" customFormat="false" ht="15" hidden="false" customHeight="false" outlineLevel="0" collapsed="false">
      <c r="A229" s="5" t="n">
        <v>228</v>
      </c>
      <c r="B229" s="5" t="s">
        <v>1769</v>
      </c>
      <c r="C229" s="5" t="s">
        <v>1181</v>
      </c>
      <c r="D229" s="5" t="n">
        <v>1</v>
      </c>
      <c r="E229" s="5" t="n">
        <v>0</v>
      </c>
      <c r="F229" s="5" t="n">
        <v>1</v>
      </c>
      <c r="G229" s="5" t="s">
        <v>1770</v>
      </c>
      <c r="H229" s="5" t="s">
        <v>839</v>
      </c>
    </row>
    <row r="230" customFormat="false" ht="15" hidden="false" customHeight="false" outlineLevel="0" collapsed="false">
      <c r="A230" s="5" t="n">
        <v>229</v>
      </c>
      <c r="B230" s="5" t="s">
        <v>1771</v>
      </c>
      <c r="C230" s="5" t="s">
        <v>1181</v>
      </c>
      <c r="D230" s="5" t="n">
        <v>1</v>
      </c>
      <c r="E230" s="5" t="n">
        <v>0</v>
      </c>
      <c r="F230" s="5" t="n">
        <v>1</v>
      </c>
      <c r="G230" s="5" t="s">
        <v>1772</v>
      </c>
      <c r="H230" s="5" t="s">
        <v>839</v>
      </c>
    </row>
    <row r="231" customFormat="false" ht="15" hidden="false" customHeight="false" outlineLevel="0" collapsed="false">
      <c r="A231" s="5" t="n">
        <v>230</v>
      </c>
      <c r="B231" s="5" t="s">
        <v>1773</v>
      </c>
      <c r="C231" s="5" t="s">
        <v>1181</v>
      </c>
      <c r="D231" s="5" t="n">
        <v>3</v>
      </c>
      <c r="E231" s="5" t="n">
        <v>0</v>
      </c>
      <c r="F231" s="5" t="n">
        <v>0</v>
      </c>
      <c r="G231" s="5" t="s">
        <v>1774</v>
      </c>
      <c r="H231" s="5" t="s">
        <v>1775</v>
      </c>
    </row>
    <row r="232" customFormat="false" ht="15" hidden="false" customHeight="false" outlineLevel="0" collapsed="false">
      <c r="A232" s="5" t="n">
        <v>231</v>
      </c>
      <c r="B232" s="5" t="s">
        <v>1776</v>
      </c>
      <c r="C232" s="5" t="s">
        <v>1181</v>
      </c>
      <c r="D232" s="5" t="n">
        <v>3</v>
      </c>
      <c r="E232" s="5" t="n">
        <v>0</v>
      </c>
      <c r="F232" s="5" t="n">
        <v>0</v>
      </c>
      <c r="G232" s="5" t="s">
        <v>1777</v>
      </c>
      <c r="H232" s="5" t="s">
        <v>1778</v>
      </c>
    </row>
    <row r="233" customFormat="false" ht="15" hidden="false" customHeight="false" outlineLevel="0" collapsed="false">
      <c r="A233" s="5" t="n">
        <v>232</v>
      </c>
      <c r="B233" s="5" t="s">
        <v>1779</v>
      </c>
      <c r="C233" s="5" t="s">
        <v>1181</v>
      </c>
      <c r="D233" s="5" t="n">
        <v>3</v>
      </c>
      <c r="E233" s="5" t="n">
        <v>0</v>
      </c>
      <c r="F233" s="5" t="n">
        <v>0</v>
      </c>
      <c r="G233" s="5" t="s">
        <v>1780</v>
      </c>
      <c r="H233" s="5" t="s">
        <v>1781</v>
      </c>
    </row>
    <row r="234" customFormat="false" ht="15" hidden="false" customHeight="false" outlineLevel="0" collapsed="false">
      <c r="A234" s="5" t="n">
        <v>233</v>
      </c>
      <c r="B234" s="5" t="s">
        <v>1782</v>
      </c>
      <c r="C234" s="5" t="s">
        <v>1181</v>
      </c>
      <c r="D234" s="5" t="n">
        <v>3</v>
      </c>
      <c r="E234" s="5" t="n">
        <v>0</v>
      </c>
      <c r="F234" s="5" t="n">
        <v>0</v>
      </c>
      <c r="G234" s="5" t="s">
        <v>1783</v>
      </c>
      <c r="H234" s="5" t="s">
        <v>1695</v>
      </c>
    </row>
    <row r="235" customFormat="false" ht="15" hidden="false" customHeight="false" outlineLevel="0" collapsed="false">
      <c r="A235" s="5" t="n">
        <v>234</v>
      </c>
      <c r="B235" s="5" t="s">
        <v>1784</v>
      </c>
      <c r="C235" s="5" t="s">
        <v>1181</v>
      </c>
      <c r="D235" s="5" t="n">
        <v>3</v>
      </c>
      <c r="E235" s="5" t="n">
        <v>0</v>
      </c>
      <c r="F235" s="5" t="n">
        <v>0</v>
      </c>
      <c r="G235" s="5" t="s">
        <v>1785</v>
      </c>
      <c r="H235" s="5" t="s">
        <v>1786</v>
      </c>
    </row>
    <row r="236" customFormat="false" ht="15" hidden="false" customHeight="false" outlineLevel="0" collapsed="false">
      <c r="A236" s="5" t="n">
        <v>235</v>
      </c>
      <c r="B236" s="5" t="s">
        <v>1787</v>
      </c>
      <c r="C236" s="5" t="s">
        <v>1181</v>
      </c>
      <c r="D236" s="5" t="n">
        <v>3</v>
      </c>
      <c r="E236" s="5" t="n">
        <v>0</v>
      </c>
      <c r="F236" s="5" t="n">
        <v>0</v>
      </c>
      <c r="G236" s="5" t="s">
        <v>1788</v>
      </c>
      <c r="H236" s="5" t="s">
        <v>1789</v>
      </c>
    </row>
    <row r="237" customFormat="false" ht="15" hidden="false" customHeight="false" outlineLevel="0" collapsed="false">
      <c r="A237" s="5" t="n">
        <v>236</v>
      </c>
      <c r="B237" s="5" t="s">
        <v>376</v>
      </c>
      <c r="C237" s="5" t="s">
        <v>1181</v>
      </c>
      <c r="D237" s="5" t="n">
        <v>3</v>
      </c>
      <c r="E237" s="5" t="n">
        <v>0</v>
      </c>
      <c r="F237" s="5" t="n">
        <v>0</v>
      </c>
      <c r="G237" s="5" t="s">
        <v>1790</v>
      </c>
      <c r="H237" s="5" t="s">
        <v>1791</v>
      </c>
    </row>
    <row r="238" customFormat="false" ht="15" hidden="false" customHeight="false" outlineLevel="0" collapsed="false">
      <c r="A238" s="5" t="n">
        <v>237</v>
      </c>
      <c r="B238" s="5" t="s">
        <v>1792</v>
      </c>
      <c r="C238" s="5" t="s">
        <v>1181</v>
      </c>
      <c r="D238" s="5" t="n">
        <v>3</v>
      </c>
      <c r="E238" s="5" t="n">
        <v>0</v>
      </c>
      <c r="F238" s="5" t="n">
        <v>0</v>
      </c>
      <c r="G238" s="5" t="s">
        <v>1793</v>
      </c>
      <c r="H238" s="5" t="s">
        <v>1689</v>
      </c>
    </row>
    <row r="239" customFormat="false" ht="15" hidden="false" customHeight="false" outlineLevel="0" collapsed="false">
      <c r="A239" s="5" t="n">
        <v>238</v>
      </c>
      <c r="B239" s="5" t="s">
        <v>1138</v>
      </c>
      <c r="C239" s="5" t="s">
        <v>1181</v>
      </c>
      <c r="D239" s="5" t="n">
        <v>3</v>
      </c>
      <c r="E239" s="5" t="n">
        <v>0</v>
      </c>
      <c r="F239" s="5" t="n">
        <v>0</v>
      </c>
      <c r="G239" s="5" t="s">
        <v>1794</v>
      </c>
      <c r="H239" s="5" t="s">
        <v>1795</v>
      </c>
    </row>
    <row r="240" customFormat="false" ht="15" hidden="false" customHeight="false" outlineLevel="0" collapsed="false">
      <c r="A240" s="5" t="n">
        <v>239</v>
      </c>
      <c r="B240" s="5" t="s">
        <v>938</v>
      </c>
      <c r="C240" s="5" t="s">
        <v>1181</v>
      </c>
      <c r="D240" s="5" t="n">
        <v>3</v>
      </c>
      <c r="E240" s="5" t="n">
        <v>0</v>
      </c>
      <c r="F240" s="5" t="n">
        <v>0</v>
      </c>
      <c r="G240" s="5" t="s">
        <v>1796</v>
      </c>
      <c r="H240" s="5" t="s">
        <v>1797</v>
      </c>
    </row>
    <row r="241" customFormat="false" ht="15" hidden="false" customHeight="false" outlineLevel="0" collapsed="false">
      <c r="A241" s="5" t="n">
        <v>240</v>
      </c>
      <c r="B241" s="5" t="s">
        <v>1798</v>
      </c>
      <c r="C241" s="5" t="s">
        <v>1181</v>
      </c>
      <c r="D241" s="5" t="n">
        <v>3</v>
      </c>
      <c r="E241" s="5" t="n">
        <v>0</v>
      </c>
      <c r="F241" s="5" t="n">
        <v>0</v>
      </c>
      <c r="G241" s="5" t="s">
        <v>1799</v>
      </c>
      <c r="H241" s="5" t="s">
        <v>1800</v>
      </c>
    </row>
    <row r="242" customFormat="false" ht="15" hidden="false" customHeight="false" outlineLevel="0" collapsed="false">
      <c r="A242" s="5" t="n">
        <v>241</v>
      </c>
      <c r="B242" s="5" t="s">
        <v>1801</v>
      </c>
      <c r="C242" s="5" t="s">
        <v>1181</v>
      </c>
      <c r="D242" s="5" t="n">
        <v>3</v>
      </c>
      <c r="E242" s="5" t="n">
        <v>0</v>
      </c>
      <c r="F242" s="5" t="n">
        <v>0</v>
      </c>
      <c r="G242" s="5" t="s">
        <v>1802</v>
      </c>
      <c r="H242" s="5" t="s">
        <v>1803</v>
      </c>
    </row>
    <row r="243" customFormat="false" ht="15" hidden="false" customHeight="false" outlineLevel="0" collapsed="false">
      <c r="A243" s="5" t="n">
        <v>242</v>
      </c>
      <c r="B243" s="5" t="s">
        <v>1804</v>
      </c>
      <c r="C243" s="5" t="s">
        <v>1181</v>
      </c>
      <c r="D243" s="5" t="n">
        <v>3</v>
      </c>
      <c r="E243" s="5" t="n">
        <v>0</v>
      </c>
      <c r="F243" s="5" t="n">
        <v>0</v>
      </c>
      <c r="G243" s="5" t="s">
        <v>1805</v>
      </c>
      <c r="H243" s="5" t="s">
        <v>1806</v>
      </c>
    </row>
    <row r="244" customFormat="false" ht="15" hidden="false" customHeight="false" outlineLevel="0" collapsed="false">
      <c r="A244" s="5" t="n">
        <v>243</v>
      </c>
      <c r="B244" s="5" t="s">
        <v>1807</v>
      </c>
      <c r="C244" s="5" t="s">
        <v>1181</v>
      </c>
      <c r="D244" s="5" t="n">
        <v>3</v>
      </c>
      <c r="E244" s="5" t="n">
        <v>0</v>
      </c>
      <c r="F244" s="5" t="n">
        <v>0</v>
      </c>
      <c r="G244" s="5" t="s">
        <v>1808</v>
      </c>
      <c r="H244" s="5" t="s">
        <v>1809</v>
      </c>
    </row>
    <row r="245" customFormat="false" ht="15" hidden="false" customHeight="false" outlineLevel="0" collapsed="false">
      <c r="A245" s="5" t="n">
        <v>244</v>
      </c>
      <c r="B245" s="5" t="s">
        <v>1810</v>
      </c>
      <c r="C245" s="5" t="s">
        <v>1181</v>
      </c>
      <c r="D245" s="5" t="n">
        <v>3</v>
      </c>
      <c r="E245" s="5" t="n">
        <v>0</v>
      </c>
      <c r="F245" s="5" t="n">
        <v>0</v>
      </c>
      <c r="G245" s="5" t="s">
        <v>1811</v>
      </c>
      <c r="H245" s="5" t="s">
        <v>1812</v>
      </c>
    </row>
    <row r="246" customFormat="false" ht="15" hidden="false" customHeight="false" outlineLevel="0" collapsed="false">
      <c r="A246" s="5" t="n">
        <v>245</v>
      </c>
      <c r="B246" s="5" t="s">
        <v>1813</v>
      </c>
      <c r="C246" s="5" t="s">
        <v>1181</v>
      </c>
      <c r="D246" s="5" t="n">
        <v>3</v>
      </c>
      <c r="E246" s="5" t="n">
        <v>0</v>
      </c>
      <c r="F246" s="5" t="n">
        <v>0</v>
      </c>
      <c r="G246" s="5" t="s">
        <v>1814</v>
      </c>
      <c r="H246" s="5" t="s">
        <v>1815</v>
      </c>
    </row>
    <row r="247" customFormat="false" ht="15" hidden="false" customHeight="false" outlineLevel="0" collapsed="false">
      <c r="A247" s="5" t="n">
        <v>246</v>
      </c>
      <c r="B247" s="5" t="s">
        <v>1816</v>
      </c>
      <c r="C247" s="5" t="s">
        <v>1181</v>
      </c>
      <c r="D247" s="5" t="n">
        <v>3</v>
      </c>
      <c r="E247" s="5" t="n">
        <v>0</v>
      </c>
      <c r="F247" s="5" t="n">
        <v>0</v>
      </c>
      <c r="G247" s="5" t="s">
        <v>1817</v>
      </c>
      <c r="H247" s="5" t="s">
        <v>1818</v>
      </c>
    </row>
    <row r="248" customFormat="false" ht="15" hidden="false" customHeight="false" outlineLevel="0" collapsed="false">
      <c r="A248" s="5" t="n">
        <v>247</v>
      </c>
      <c r="B248" s="5" t="s">
        <v>1819</v>
      </c>
      <c r="C248" s="5" t="s">
        <v>1181</v>
      </c>
      <c r="D248" s="5" t="n">
        <v>3</v>
      </c>
      <c r="E248" s="5" t="n">
        <v>0</v>
      </c>
      <c r="F248" s="5" t="n">
        <v>0</v>
      </c>
      <c r="G248" s="5" t="s">
        <v>1820</v>
      </c>
      <c r="H248" s="5" t="s">
        <v>1821</v>
      </c>
    </row>
    <row r="249" customFormat="false" ht="15" hidden="false" customHeight="false" outlineLevel="0" collapsed="false">
      <c r="A249" s="5" t="n">
        <v>248</v>
      </c>
      <c r="B249" s="5" t="s">
        <v>1822</v>
      </c>
      <c r="C249" s="5" t="s">
        <v>1181</v>
      </c>
      <c r="D249" s="5" t="n">
        <v>3</v>
      </c>
      <c r="E249" s="5" t="n">
        <v>0</v>
      </c>
      <c r="F249" s="5" t="n">
        <v>0</v>
      </c>
      <c r="G249" s="5" t="s">
        <v>1823</v>
      </c>
      <c r="H249" s="5" t="s">
        <v>1701</v>
      </c>
    </row>
    <row r="250" customFormat="false" ht="15" hidden="false" customHeight="false" outlineLevel="0" collapsed="false">
      <c r="A250" s="5" t="n">
        <v>249</v>
      </c>
      <c r="B250" s="5" t="s">
        <v>1824</v>
      </c>
      <c r="C250" s="5" t="s">
        <v>1181</v>
      </c>
      <c r="D250" s="5" t="n">
        <v>3</v>
      </c>
      <c r="E250" s="5" t="n">
        <v>0</v>
      </c>
      <c r="F250" s="5" t="n">
        <v>0</v>
      </c>
      <c r="G250" s="5" t="s">
        <v>1825</v>
      </c>
      <c r="H250" s="5" t="s">
        <v>1826</v>
      </c>
    </row>
    <row r="251" customFormat="false" ht="15" hidden="false" customHeight="false" outlineLevel="0" collapsed="false">
      <c r="A251" s="5" t="n">
        <v>250</v>
      </c>
      <c r="B251" s="5" t="s">
        <v>1827</v>
      </c>
      <c r="C251" s="5" t="s">
        <v>1181</v>
      </c>
      <c r="D251" s="5" t="n">
        <v>3</v>
      </c>
      <c r="E251" s="5" t="n">
        <v>0</v>
      </c>
      <c r="F251" s="5" t="n">
        <v>0</v>
      </c>
      <c r="G251" s="5" t="s">
        <v>1828</v>
      </c>
      <c r="H251" s="5" t="s">
        <v>1829</v>
      </c>
    </row>
    <row r="252" customFormat="false" ht="15" hidden="false" customHeight="false" outlineLevel="0" collapsed="false">
      <c r="A252" s="5" t="n">
        <v>251</v>
      </c>
      <c r="B252" s="5" t="s">
        <v>1830</v>
      </c>
      <c r="C252" s="5" t="s">
        <v>1181</v>
      </c>
      <c r="D252" s="5" t="n">
        <v>3</v>
      </c>
      <c r="E252" s="5" t="n">
        <v>0</v>
      </c>
      <c r="F252" s="5" t="n">
        <v>0</v>
      </c>
      <c r="G252" s="5" t="s">
        <v>1831</v>
      </c>
      <c r="H252" s="5" t="s">
        <v>1832</v>
      </c>
    </row>
    <row r="253" customFormat="false" ht="15" hidden="false" customHeight="false" outlineLevel="0" collapsed="false">
      <c r="A253" s="5" t="n">
        <v>252</v>
      </c>
      <c r="B253" s="5" t="s">
        <v>1833</v>
      </c>
      <c r="C253" s="5" t="s">
        <v>1181</v>
      </c>
      <c r="D253" s="5" t="n">
        <v>3</v>
      </c>
      <c r="E253" s="5" t="n">
        <v>0</v>
      </c>
      <c r="F253" s="5" t="n">
        <v>0</v>
      </c>
      <c r="G253" s="5" t="s">
        <v>1834</v>
      </c>
      <c r="H253" s="5" t="s">
        <v>1835</v>
      </c>
    </row>
    <row r="254" customFormat="false" ht="15" hidden="false" customHeight="false" outlineLevel="0" collapsed="false">
      <c r="A254" s="5" t="n">
        <v>253</v>
      </c>
      <c r="B254" s="5" t="s">
        <v>1836</v>
      </c>
      <c r="C254" s="5" t="s">
        <v>1176</v>
      </c>
      <c r="D254" s="5" t="n">
        <v>1</v>
      </c>
      <c r="E254" s="5" t="n">
        <v>0</v>
      </c>
      <c r="F254" s="5" t="n">
        <v>1</v>
      </c>
      <c r="G254" s="5" t="s">
        <v>1837</v>
      </c>
      <c r="H254" s="5" t="s">
        <v>830</v>
      </c>
    </row>
    <row r="255" customFormat="false" ht="15" hidden="false" customHeight="false" outlineLevel="0" collapsed="false">
      <c r="A255" s="5" t="n">
        <v>254</v>
      </c>
      <c r="B255" s="5" t="s">
        <v>707</v>
      </c>
      <c r="C255" s="5" t="s">
        <v>1176</v>
      </c>
      <c r="D255" s="5" t="n">
        <v>3</v>
      </c>
      <c r="E255" s="5" t="n">
        <v>0</v>
      </c>
      <c r="F255" s="5" t="n">
        <v>0</v>
      </c>
      <c r="G255" s="5" t="s">
        <v>1838</v>
      </c>
      <c r="H255" s="5" t="s">
        <v>1839</v>
      </c>
    </row>
    <row r="256" customFormat="false" ht="15" hidden="false" customHeight="false" outlineLevel="0" collapsed="false">
      <c r="A256" s="5" t="n">
        <v>255</v>
      </c>
      <c r="B256" s="5" t="s">
        <v>1840</v>
      </c>
      <c r="C256" s="5" t="s">
        <v>1181</v>
      </c>
      <c r="D256" s="5" t="n">
        <v>3</v>
      </c>
      <c r="E256" s="5" t="n">
        <v>0</v>
      </c>
      <c r="F256" s="5" t="n">
        <v>0</v>
      </c>
      <c r="G256" s="5" t="s">
        <v>1841</v>
      </c>
      <c r="H256" s="5" t="s">
        <v>1842</v>
      </c>
    </row>
    <row r="257" customFormat="false" ht="15" hidden="false" customHeight="false" outlineLevel="0" collapsed="false">
      <c r="A257" s="5" t="n">
        <v>256</v>
      </c>
      <c r="B257" s="5" t="s">
        <v>1843</v>
      </c>
      <c r="C257" s="5" t="s">
        <v>1181</v>
      </c>
      <c r="D257" s="5" t="n">
        <v>3</v>
      </c>
      <c r="E257" s="5" t="n">
        <v>0</v>
      </c>
      <c r="F257" s="5" t="n">
        <v>0</v>
      </c>
      <c r="G257" s="5" t="s">
        <v>1844</v>
      </c>
      <c r="H257" s="5" t="s">
        <v>1845</v>
      </c>
    </row>
    <row r="258" customFormat="false" ht="15" hidden="false" customHeight="false" outlineLevel="0" collapsed="false">
      <c r="A258" s="5" t="n">
        <v>257</v>
      </c>
      <c r="B258" s="5" t="s">
        <v>1846</v>
      </c>
      <c r="C258" s="5" t="s">
        <v>1181</v>
      </c>
      <c r="D258" s="5" t="n">
        <v>3</v>
      </c>
      <c r="E258" s="5" t="n">
        <v>0</v>
      </c>
      <c r="F258" s="5" t="n">
        <v>0</v>
      </c>
      <c r="G258" s="5" t="s">
        <v>1847</v>
      </c>
      <c r="H258" s="5" t="s">
        <v>1848</v>
      </c>
    </row>
    <row r="259" customFormat="false" ht="15" hidden="false" customHeight="false" outlineLevel="0" collapsed="false">
      <c r="A259" s="5" t="n">
        <v>258</v>
      </c>
      <c r="B259" s="5" t="s">
        <v>1849</v>
      </c>
      <c r="C259" s="5" t="s">
        <v>1181</v>
      </c>
      <c r="D259" s="5" t="n">
        <v>3</v>
      </c>
      <c r="E259" s="5" t="n">
        <v>0</v>
      </c>
      <c r="F259" s="5" t="n">
        <v>0</v>
      </c>
      <c r="G259" s="5" t="s">
        <v>1850</v>
      </c>
      <c r="H259" s="5" t="s">
        <v>1851</v>
      </c>
    </row>
    <row r="260" customFormat="false" ht="15" hidden="false" customHeight="false" outlineLevel="0" collapsed="false">
      <c r="A260" s="5" t="n">
        <v>259</v>
      </c>
      <c r="B260" s="5" t="s">
        <v>1852</v>
      </c>
      <c r="C260" s="5" t="s">
        <v>1181</v>
      </c>
      <c r="D260" s="5" t="n">
        <v>3</v>
      </c>
      <c r="E260" s="5" t="n">
        <v>0</v>
      </c>
      <c r="F260" s="5" t="n">
        <v>0</v>
      </c>
      <c r="G260" s="5" t="s">
        <v>1853</v>
      </c>
      <c r="H260" s="5" t="s">
        <v>1854</v>
      </c>
    </row>
    <row r="261" customFormat="false" ht="15" hidden="false" customHeight="false" outlineLevel="0" collapsed="false">
      <c r="A261" s="5" t="n">
        <v>260</v>
      </c>
      <c r="B261" s="5" t="s">
        <v>1855</v>
      </c>
      <c r="C261" s="5" t="s">
        <v>1176</v>
      </c>
      <c r="D261" s="5" t="n">
        <v>3</v>
      </c>
      <c r="E261" s="5" t="n">
        <v>0</v>
      </c>
      <c r="F261" s="5" t="n">
        <v>0</v>
      </c>
      <c r="G261" s="5" t="s">
        <v>1856</v>
      </c>
      <c r="H261" s="5" t="s">
        <v>1857</v>
      </c>
    </row>
    <row r="262" customFormat="false" ht="15" hidden="false" customHeight="false" outlineLevel="0" collapsed="false">
      <c r="A262" s="5" t="n">
        <v>261</v>
      </c>
      <c r="B262" s="5" t="s">
        <v>1858</v>
      </c>
      <c r="C262" s="5" t="s">
        <v>1181</v>
      </c>
      <c r="D262" s="5" t="n">
        <v>3</v>
      </c>
      <c r="E262" s="5" t="n">
        <v>0</v>
      </c>
      <c r="F262" s="5" t="n">
        <v>0</v>
      </c>
      <c r="G262" s="5" t="s">
        <v>1859</v>
      </c>
      <c r="H262" s="5" t="s">
        <v>1695</v>
      </c>
    </row>
    <row r="263" customFormat="false" ht="15" hidden="false" customHeight="false" outlineLevel="0" collapsed="false">
      <c r="A263" s="5" t="n">
        <v>262</v>
      </c>
      <c r="B263" s="5" t="s">
        <v>1860</v>
      </c>
      <c r="C263" s="5" t="s">
        <v>1181</v>
      </c>
      <c r="D263" s="5" t="n">
        <v>3</v>
      </c>
      <c r="E263" s="5" t="n">
        <v>0</v>
      </c>
      <c r="F263" s="5" t="n">
        <v>0</v>
      </c>
      <c r="G263" s="5" t="s">
        <v>1861</v>
      </c>
      <c r="H263" s="5" t="s">
        <v>1695</v>
      </c>
    </row>
    <row r="264" customFormat="false" ht="15" hidden="false" customHeight="false" outlineLevel="0" collapsed="false">
      <c r="A264" s="5" t="n">
        <v>263</v>
      </c>
      <c r="B264" s="5" t="s">
        <v>1862</v>
      </c>
      <c r="C264" s="5" t="s">
        <v>1181</v>
      </c>
      <c r="D264" s="5" t="n">
        <v>3</v>
      </c>
      <c r="E264" s="5" t="n">
        <v>0</v>
      </c>
      <c r="F264" s="5" t="n">
        <v>0</v>
      </c>
      <c r="G264" s="5" t="s">
        <v>1863</v>
      </c>
      <c r="H264" s="5" t="s">
        <v>1698</v>
      </c>
    </row>
    <row r="265" customFormat="false" ht="15" hidden="false" customHeight="false" outlineLevel="0" collapsed="false">
      <c r="A265" s="5" t="n">
        <v>264</v>
      </c>
      <c r="B265" s="5" t="s">
        <v>1068</v>
      </c>
      <c r="C265" s="5" t="s">
        <v>1181</v>
      </c>
      <c r="D265" s="5" t="n">
        <v>3</v>
      </c>
      <c r="E265" s="5" t="n">
        <v>0</v>
      </c>
      <c r="F265" s="5" t="n">
        <v>0</v>
      </c>
      <c r="G265" s="5" t="s">
        <v>1864</v>
      </c>
      <c r="H265" s="5" t="s">
        <v>1689</v>
      </c>
    </row>
    <row r="266" customFormat="false" ht="15" hidden="false" customHeight="false" outlineLevel="0" collapsed="false">
      <c r="A266" s="5" t="n">
        <v>265</v>
      </c>
      <c r="B266" s="5" t="s">
        <v>838</v>
      </c>
      <c r="C266" s="5" t="s">
        <v>1181</v>
      </c>
      <c r="D266" s="5" t="n">
        <v>3</v>
      </c>
      <c r="E266" s="5" t="n">
        <v>0</v>
      </c>
      <c r="F266" s="5" t="n">
        <v>0</v>
      </c>
      <c r="G266" s="5" t="s">
        <v>1865</v>
      </c>
      <c r="H266" s="5" t="s">
        <v>1866</v>
      </c>
    </row>
    <row r="267" customFormat="false" ht="15" hidden="false" customHeight="false" outlineLevel="0" collapsed="false">
      <c r="A267" s="5" t="n">
        <v>266</v>
      </c>
      <c r="B267" s="5" t="s">
        <v>1867</v>
      </c>
      <c r="C267" s="5" t="s">
        <v>1181</v>
      </c>
      <c r="D267" s="5" t="n">
        <v>3</v>
      </c>
      <c r="E267" s="5" t="n">
        <v>0</v>
      </c>
      <c r="F267" s="5" t="n">
        <v>0</v>
      </c>
      <c r="G267" s="5" t="s">
        <v>1868</v>
      </c>
      <c r="H267" s="5" t="s">
        <v>1869</v>
      </c>
    </row>
    <row r="268" customFormat="false" ht="15" hidden="false" customHeight="false" outlineLevel="0" collapsed="false">
      <c r="A268" s="5" t="n">
        <v>267</v>
      </c>
      <c r="B268" s="5" t="s">
        <v>1870</v>
      </c>
      <c r="C268" s="5" t="s">
        <v>1181</v>
      </c>
      <c r="D268" s="5" t="n">
        <v>3</v>
      </c>
      <c r="E268" s="5" t="n">
        <v>0</v>
      </c>
      <c r="F268" s="5" t="n">
        <v>0</v>
      </c>
      <c r="G268" s="5" t="s">
        <v>1871</v>
      </c>
      <c r="H268" s="5" t="s">
        <v>1872</v>
      </c>
    </row>
    <row r="269" customFormat="false" ht="15" hidden="false" customHeight="false" outlineLevel="0" collapsed="false">
      <c r="A269" s="5" t="n">
        <v>268</v>
      </c>
      <c r="B269" s="5" t="s">
        <v>831</v>
      </c>
      <c r="C269" s="5" t="s">
        <v>1176</v>
      </c>
      <c r="D269" s="5" t="n">
        <v>1</v>
      </c>
      <c r="E269" s="5" t="n">
        <v>0</v>
      </c>
      <c r="F269" s="5" t="n">
        <v>1</v>
      </c>
      <c r="G269" s="5" t="s">
        <v>1873</v>
      </c>
      <c r="H269" s="5" t="s">
        <v>830</v>
      </c>
    </row>
    <row r="270" customFormat="false" ht="15" hidden="false" customHeight="false" outlineLevel="0" collapsed="false">
      <c r="A270" s="5" t="n">
        <v>269</v>
      </c>
      <c r="B270" s="5" t="s">
        <v>1874</v>
      </c>
      <c r="C270" s="5" t="s">
        <v>1176</v>
      </c>
      <c r="D270" s="5" t="n">
        <v>1</v>
      </c>
      <c r="E270" s="5" t="n">
        <v>0</v>
      </c>
      <c r="F270" s="5" t="n">
        <v>1</v>
      </c>
      <c r="G270" s="5" t="s">
        <v>1875</v>
      </c>
      <c r="H270" s="5" t="s">
        <v>830</v>
      </c>
    </row>
    <row r="271" customFormat="false" ht="15" hidden="false" customHeight="false" outlineLevel="0" collapsed="false">
      <c r="A271" s="5" t="n">
        <v>270</v>
      </c>
      <c r="B271" s="5" t="s">
        <v>1876</v>
      </c>
      <c r="C271" s="5" t="s">
        <v>1181</v>
      </c>
      <c r="D271" s="5" t="n">
        <v>3</v>
      </c>
      <c r="E271" s="5" t="n">
        <v>0</v>
      </c>
      <c r="F271" s="5" t="n">
        <v>0</v>
      </c>
      <c r="G271" s="5" t="s">
        <v>1877</v>
      </c>
      <c r="H271" s="5" t="s">
        <v>1878</v>
      </c>
    </row>
    <row r="272" customFormat="false" ht="15" hidden="false" customHeight="false" outlineLevel="0" collapsed="false">
      <c r="A272" s="5" t="n">
        <v>271</v>
      </c>
      <c r="B272" s="5" t="s">
        <v>1879</v>
      </c>
      <c r="C272" s="5" t="s">
        <v>1181</v>
      </c>
      <c r="D272" s="5" t="n">
        <v>1</v>
      </c>
      <c r="E272" s="5" t="n">
        <v>0</v>
      </c>
      <c r="F272" s="5" t="n">
        <v>1</v>
      </c>
      <c r="G272" s="5" t="s">
        <v>1880</v>
      </c>
      <c r="H272" s="5" t="s">
        <v>225</v>
      </c>
    </row>
    <row r="273" customFormat="false" ht="15" hidden="false" customHeight="false" outlineLevel="0" collapsed="false">
      <c r="A273" s="5" t="n">
        <v>272</v>
      </c>
      <c r="B273" s="5" t="s">
        <v>1881</v>
      </c>
      <c r="C273" s="5" t="s">
        <v>1181</v>
      </c>
      <c r="D273" s="5" t="n">
        <v>3</v>
      </c>
      <c r="E273" s="5" t="n">
        <v>0</v>
      </c>
      <c r="F273" s="5" t="n">
        <v>0</v>
      </c>
      <c r="G273" s="5" t="s">
        <v>1882</v>
      </c>
      <c r="H273" s="5" t="s">
        <v>1815</v>
      </c>
    </row>
    <row r="274" customFormat="false" ht="15" hidden="false" customHeight="false" outlineLevel="0" collapsed="false">
      <c r="A274" s="5" t="n">
        <v>273</v>
      </c>
      <c r="B274" s="5" t="s">
        <v>1883</v>
      </c>
      <c r="C274" s="5" t="s">
        <v>1181</v>
      </c>
      <c r="D274" s="5" t="n">
        <v>3</v>
      </c>
      <c r="E274" s="5" t="n">
        <v>0</v>
      </c>
      <c r="F274" s="5" t="n">
        <v>0</v>
      </c>
      <c r="G274" s="5" t="s">
        <v>1884</v>
      </c>
      <c r="H274" s="5" t="s">
        <v>1885</v>
      </c>
    </row>
    <row r="275" customFormat="false" ht="15" hidden="false" customHeight="false" outlineLevel="0" collapsed="false">
      <c r="A275" s="5" t="n">
        <v>274</v>
      </c>
      <c r="B275" s="5" t="s">
        <v>1886</v>
      </c>
      <c r="C275" s="5" t="s">
        <v>1181</v>
      </c>
      <c r="D275" s="5" t="n">
        <v>3</v>
      </c>
      <c r="E275" s="5" t="n">
        <v>0</v>
      </c>
      <c r="F275" s="5" t="n">
        <v>0</v>
      </c>
      <c r="G275" s="5" t="s">
        <v>1887</v>
      </c>
      <c r="H275" s="5" t="s">
        <v>1717</v>
      </c>
    </row>
    <row r="276" customFormat="false" ht="15" hidden="false" customHeight="false" outlineLevel="0" collapsed="false">
      <c r="A276" s="5" t="n">
        <v>275</v>
      </c>
      <c r="B276" s="5" t="s">
        <v>1888</v>
      </c>
      <c r="C276" s="5" t="s">
        <v>1181</v>
      </c>
      <c r="D276" s="5" t="n">
        <v>3</v>
      </c>
      <c r="E276" s="5" t="n">
        <v>0</v>
      </c>
      <c r="F276" s="5" t="n">
        <v>0</v>
      </c>
      <c r="G276" s="5" t="s">
        <v>1889</v>
      </c>
      <c r="H276" s="5" t="s">
        <v>1695</v>
      </c>
    </row>
    <row r="277" customFormat="false" ht="15" hidden="false" customHeight="false" outlineLevel="0" collapsed="false">
      <c r="A277" s="5" t="n">
        <v>276</v>
      </c>
      <c r="B277" s="5" t="s">
        <v>158</v>
      </c>
      <c r="C277" s="5" t="s">
        <v>1181</v>
      </c>
      <c r="D277" s="5" t="n">
        <v>3</v>
      </c>
      <c r="E277" s="5" t="n">
        <v>0</v>
      </c>
      <c r="F277" s="5" t="n">
        <v>0</v>
      </c>
      <c r="G277" s="5" t="s">
        <v>1890</v>
      </c>
      <c r="H277" s="5" t="s">
        <v>1891</v>
      </c>
    </row>
    <row r="278" customFormat="false" ht="15" hidden="false" customHeight="false" outlineLevel="0" collapsed="false">
      <c r="A278" s="5" t="n">
        <v>277</v>
      </c>
      <c r="B278" s="5" t="s">
        <v>1892</v>
      </c>
      <c r="C278" s="5" t="s">
        <v>1181</v>
      </c>
      <c r="D278" s="5" t="n">
        <v>3</v>
      </c>
      <c r="E278" s="5" t="n">
        <v>0</v>
      </c>
      <c r="F278" s="5" t="n">
        <v>0</v>
      </c>
      <c r="G278" s="5" t="s">
        <v>1893</v>
      </c>
      <c r="H278" s="5" t="s">
        <v>1894</v>
      </c>
    </row>
    <row r="279" customFormat="false" ht="15" hidden="false" customHeight="false" outlineLevel="0" collapsed="false">
      <c r="A279" s="5" t="n">
        <v>278</v>
      </c>
      <c r="B279" s="5" t="s">
        <v>1895</v>
      </c>
      <c r="C279" s="5" t="s">
        <v>1181</v>
      </c>
      <c r="D279" s="5" t="n">
        <v>3</v>
      </c>
      <c r="E279" s="5" t="n">
        <v>0</v>
      </c>
      <c r="F279" s="5" t="n">
        <v>0</v>
      </c>
      <c r="G279" s="5" t="s">
        <v>1896</v>
      </c>
      <c r="H279" s="5" t="s">
        <v>1897</v>
      </c>
    </row>
    <row r="280" customFormat="false" ht="15" hidden="false" customHeight="false" outlineLevel="0" collapsed="false">
      <c r="A280" s="5" t="n">
        <v>279</v>
      </c>
      <c r="B280" s="5" t="s">
        <v>1898</v>
      </c>
      <c r="C280" s="5" t="s">
        <v>1181</v>
      </c>
      <c r="D280" s="5" t="n">
        <v>3</v>
      </c>
      <c r="E280" s="5" t="n">
        <v>0</v>
      </c>
      <c r="F280" s="5" t="n">
        <v>0</v>
      </c>
      <c r="G280" s="5" t="s">
        <v>1899</v>
      </c>
      <c r="H280" s="5" t="s">
        <v>1900</v>
      </c>
    </row>
    <row r="281" customFormat="false" ht="15" hidden="false" customHeight="false" outlineLevel="0" collapsed="false">
      <c r="A281" s="5" t="n">
        <v>280</v>
      </c>
      <c r="B281" s="5" t="s">
        <v>1901</v>
      </c>
      <c r="C281" s="5" t="s">
        <v>1181</v>
      </c>
      <c r="D281" s="5" t="n">
        <v>2</v>
      </c>
      <c r="E281" s="5" t="n">
        <v>0</v>
      </c>
      <c r="F281" s="5" t="n">
        <v>0</v>
      </c>
      <c r="G281" s="5" t="s">
        <v>1902</v>
      </c>
      <c r="H281" s="5" t="s">
        <v>1903</v>
      </c>
    </row>
    <row r="282" customFormat="false" ht="15" hidden="false" customHeight="false" outlineLevel="0" collapsed="false">
      <c r="A282" s="5" t="n">
        <v>281</v>
      </c>
      <c r="B282" s="5" t="s">
        <v>1904</v>
      </c>
      <c r="C282" s="5" t="s">
        <v>1181</v>
      </c>
      <c r="D282" s="5" t="n">
        <v>2</v>
      </c>
      <c r="E282" s="5" t="n">
        <v>0</v>
      </c>
      <c r="F282" s="5" t="n">
        <v>0</v>
      </c>
      <c r="G282" s="5" t="s">
        <v>1905</v>
      </c>
      <c r="H282" s="5" t="s">
        <v>1906</v>
      </c>
    </row>
    <row r="283" customFormat="false" ht="15" hidden="false" customHeight="false" outlineLevel="0" collapsed="false">
      <c r="A283" s="5" t="n">
        <v>282</v>
      </c>
      <c r="B283" s="5" t="s">
        <v>1907</v>
      </c>
      <c r="C283" s="5" t="s">
        <v>1181</v>
      </c>
      <c r="D283" s="5" t="n">
        <v>2</v>
      </c>
      <c r="E283" s="5" t="n">
        <v>0</v>
      </c>
      <c r="F283" s="5" t="n">
        <v>0</v>
      </c>
      <c r="G283" s="5" t="s">
        <v>1908</v>
      </c>
      <c r="H283" s="5" t="s">
        <v>1909</v>
      </c>
    </row>
    <row r="284" customFormat="false" ht="15" hidden="false" customHeight="false" outlineLevel="0" collapsed="false">
      <c r="A284" s="5" t="n">
        <v>283</v>
      </c>
      <c r="B284" s="5" t="s">
        <v>1910</v>
      </c>
      <c r="C284" s="5" t="s">
        <v>1181</v>
      </c>
      <c r="D284" s="5" t="n">
        <v>2</v>
      </c>
      <c r="E284" s="5" t="n">
        <v>0</v>
      </c>
      <c r="F284" s="5" t="n">
        <v>0</v>
      </c>
      <c r="G284" s="5" t="s">
        <v>1911</v>
      </c>
      <c r="H284" s="5" t="s">
        <v>1912</v>
      </c>
    </row>
    <row r="285" customFormat="false" ht="15" hidden="false" customHeight="false" outlineLevel="0" collapsed="false">
      <c r="A285" s="5" t="n">
        <v>284</v>
      </c>
      <c r="B285" s="5" t="s">
        <v>1913</v>
      </c>
      <c r="C285" s="5" t="s">
        <v>1181</v>
      </c>
      <c r="D285" s="5" t="n">
        <v>2</v>
      </c>
      <c r="E285" s="5" t="n">
        <v>0</v>
      </c>
      <c r="F285" s="5" t="n">
        <v>0</v>
      </c>
      <c r="G285" s="5" t="s">
        <v>1914</v>
      </c>
      <c r="H285" s="5" t="s">
        <v>1915</v>
      </c>
    </row>
    <row r="286" customFormat="false" ht="15" hidden="false" customHeight="false" outlineLevel="0" collapsed="false">
      <c r="A286" s="5" t="n">
        <v>285</v>
      </c>
      <c r="B286" s="5" t="s">
        <v>1916</v>
      </c>
      <c r="C286" s="5" t="s">
        <v>1181</v>
      </c>
      <c r="D286" s="5" t="n">
        <v>2</v>
      </c>
      <c r="E286" s="5" t="n">
        <v>0</v>
      </c>
      <c r="F286" s="5" t="n">
        <v>0</v>
      </c>
      <c r="G286" s="5" t="s">
        <v>1917</v>
      </c>
      <c r="H286" s="5" t="s">
        <v>1909</v>
      </c>
    </row>
    <row r="287" customFormat="false" ht="15" hidden="false" customHeight="false" outlineLevel="0" collapsed="false">
      <c r="A287" s="5" t="n">
        <v>286</v>
      </c>
      <c r="B287" s="5" t="s">
        <v>1918</v>
      </c>
      <c r="C287" s="5" t="s">
        <v>1181</v>
      </c>
      <c r="D287" s="5" t="n">
        <v>2</v>
      </c>
      <c r="E287" s="5" t="n">
        <v>0</v>
      </c>
      <c r="F287" s="5" t="n">
        <v>0</v>
      </c>
      <c r="G287" s="5" t="s">
        <v>1919</v>
      </c>
      <c r="H287" s="5" t="s">
        <v>1920</v>
      </c>
    </row>
    <row r="288" customFormat="false" ht="15" hidden="false" customHeight="false" outlineLevel="0" collapsed="false">
      <c r="A288" s="5" t="n">
        <v>287</v>
      </c>
      <c r="B288" s="5" t="s">
        <v>1921</v>
      </c>
      <c r="C288" s="5" t="s">
        <v>1181</v>
      </c>
      <c r="D288" s="5" t="n">
        <v>2</v>
      </c>
      <c r="E288" s="5" t="n">
        <v>0</v>
      </c>
      <c r="F288" s="5" t="n">
        <v>0</v>
      </c>
      <c r="G288" s="5" t="s">
        <v>1922</v>
      </c>
      <c r="H288" s="5" t="s">
        <v>1923</v>
      </c>
    </row>
    <row r="289" customFormat="false" ht="15" hidden="false" customHeight="false" outlineLevel="0" collapsed="false">
      <c r="A289" s="5" t="n">
        <v>288</v>
      </c>
      <c r="B289" s="5" t="s">
        <v>1924</v>
      </c>
      <c r="C289" s="5" t="s">
        <v>1181</v>
      </c>
      <c r="D289" s="5" t="n">
        <v>2</v>
      </c>
      <c r="E289" s="5" t="n">
        <v>0</v>
      </c>
      <c r="F289" s="5" t="n">
        <v>0</v>
      </c>
      <c r="G289" s="5" t="s">
        <v>1925</v>
      </c>
      <c r="H289" s="5" t="s">
        <v>1926</v>
      </c>
    </row>
    <row r="290" customFormat="false" ht="15" hidden="false" customHeight="false" outlineLevel="0" collapsed="false">
      <c r="A290" s="5" t="n">
        <v>289</v>
      </c>
      <c r="B290" s="5" t="s">
        <v>1927</v>
      </c>
      <c r="C290" s="5" t="s">
        <v>1181</v>
      </c>
      <c r="D290" s="5" t="n">
        <v>2</v>
      </c>
      <c r="E290" s="5" t="n">
        <v>0</v>
      </c>
      <c r="F290" s="5" t="n">
        <v>0</v>
      </c>
      <c r="G290" s="5" t="s">
        <v>1928</v>
      </c>
      <c r="H290" s="5" t="s">
        <v>1929</v>
      </c>
    </row>
    <row r="291" customFormat="false" ht="15" hidden="false" customHeight="false" outlineLevel="0" collapsed="false">
      <c r="A291" s="5" t="n">
        <v>290</v>
      </c>
      <c r="B291" s="5" t="s">
        <v>1930</v>
      </c>
      <c r="C291" s="5" t="s">
        <v>1181</v>
      </c>
      <c r="D291" s="5" t="n">
        <v>2</v>
      </c>
      <c r="E291" s="5" t="n">
        <v>0</v>
      </c>
      <c r="F291" s="5" t="n">
        <v>0</v>
      </c>
      <c r="G291" s="5" t="s">
        <v>1931</v>
      </c>
      <c r="H291" s="5" t="s">
        <v>1932</v>
      </c>
    </row>
    <row r="292" customFormat="false" ht="15" hidden="false" customHeight="false" outlineLevel="0" collapsed="false">
      <c r="A292" s="5" t="n">
        <v>291</v>
      </c>
      <c r="B292" s="5" t="s">
        <v>1933</v>
      </c>
      <c r="C292" s="5" t="s">
        <v>1181</v>
      </c>
      <c r="D292" s="5" t="n">
        <v>2</v>
      </c>
      <c r="E292" s="5" t="n">
        <v>0</v>
      </c>
      <c r="F292" s="5" t="n">
        <v>0</v>
      </c>
      <c r="G292" s="5" t="s">
        <v>1934</v>
      </c>
      <c r="H292" s="5" t="s">
        <v>1935</v>
      </c>
    </row>
    <row r="293" customFormat="false" ht="15" hidden="false" customHeight="false" outlineLevel="0" collapsed="false">
      <c r="A293" s="5" t="n">
        <v>292</v>
      </c>
      <c r="B293" s="5" t="s">
        <v>1936</v>
      </c>
      <c r="C293" s="5" t="s">
        <v>1176</v>
      </c>
      <c r="D293" s="5" t="n">
        <v>2</v>
      </c>
      <c r="E293" s="5" t="n">
        <v>0</v>
      </c>
      <c r="F293" s="5" t="n">
        <v>0</v>
      </c>
      <c r="G293" s="5" t="s">
        <v>1937</v>
      </c>
      <c r="H293" s="5" t="s">
        <v>1938</v>
      </c>
    </row>
    <row r="294" customFormat="false" ht="15" hidden="false" customHeight="false" outlineLevel="0" collapsed="false">
      <c r="A294" s="5" t="n">
        <v>293</v>
      </c>
      <c r="B294" s="5" t="s">
        <v>553</v>
      </c>
      <c r="C294" s="5" t="s">
        <v>1181</v>
      </c>
      <c r="D294" s="5" t="n">
        <v>2</v>
      </c>
      <c r="E294" s="5" t="n">
        <v>0</v>
      </c>
      <c r="F294" s="5" t="n">
        <v>0</v>
      </c>
      <c r="G294" s="5" t="s">
        <v>1939</v>
      </c>
      <c r="H294" s="5" t="s">
        <v>1940</v>
      </c>
    </row>
    <row r="295" customFormat="false" ht="15" hidden="false" customHeight="false" outlineLevel="0" collapsed="false">
      <c r="A295" s="5" t="n">
        <v>294</v>
      </c>
      <c r="B295" s="5" t="s">
        <v>1941</v>
      </c>
      <c r="C295" s="5" t="s">
        <v>1181</v>
      </c>
      <c r="D295" s="5" t="n">
        <v>2</v>
      </c>
      <c r="E295" s="5" t="n">
        <v>0</v>
      </c>
      <c r="F295" s="5" t="n">
        <v>0</v>
      </c>
      <c r="G295" s="5" t="s">
        <v>1942</v>
      </c>
      <c r="H295" s="5" t="s">
        <v>1943</v>
      </c>
    </row>
    <row r="296" customFormat="false" ht="15" hidden="false" customHeight="false" outlineLevel="0" collapsed="false">
      <c r="A296" s="5" t="n">
        <v>295</v>
      </c>
      <c r="B296" s="5" t="s">
        <v>1944</v>
      </c>
      <c r="C296" s="5" t="s">
        <v>1181</v>
      </c>
      <c r="D296" s="5" t="n">
        <v>2</v>
      </c>
      <c r="E296" s="5" t="n">
        <v>0</v>
      </c>
      <c r="F296" s="5" t="n">
        <v>0</v>
      </c>
      <c r="G296" s="5" t="s">
        <v>1945</v>
      </c>
      <c r="H296" s="5" t="s">
        <v>1946</v>
      </c>
    </row>
    <row r="297" customFormat="false" ht="15" hidden="false" customHeight="false" outlineLevel="0" collapsed="false">
      <c r="A297" s="5" t="n">
        <v>296</v>
      </c>
      <c r="B297" s="5" t="s">
        <v>1947</v>
      </c>
      <c r="C297" s="5" t="s">
        <v>1181</v>
      </c>
      <c r="D297" s="5" t="n">
        <v>2</v>
      </c>
      <c r="E297" s="5" t="n">
        <v>0</v>
      </c>
      <c r="F297" s="5" t="n">
        <v>0</v>
      </c>
      <c r="G297" s="5" t="s">
        <v>1948</v>
      </c>
      <c r="H297" s="5" t="s">
        <v>1946</v>
      </c>
    </row>
    <row r="298" customFormat="false" ht="15" hidden="false" customHeight="false" outlineLevel="0" collapsed="false">
      <c r="A298" s="5" t="n">
        <v>297</v>
      </c>
      <c r="B298" s="5" t="s">
        <v>1949</v>
      </c>
      <c r="C298" s="5" t="s">
        <v>1176</v>
      </c>
      <c r="D298" s="5" t="n">
        <v>2</v>
      </c>
      <c r="E298" s="5" t="n">
        <v>0</v>
      </c>
      <c r="F298" s="5" t="n">
        <v>0</v>
      </c>
      <c r="G298" s="5" t="s">
        <v>1950</v>
      </c>
      <c r="H298" s="5" t="s">
        <v>1951</v>
      </c>
    </row>
    <row r="299" customFormat="false" ht="15" hidden="false" customHeight="false" outlineLevel="0" collapsed="false">
      <c r="A299" s="5" t="n">
        <v>298</v>
      </c>
      <c r="B299" s="5" t="s">
        <v>1952</v>
      </c>
      <c r="C299" s="5" t="s">
        <v>1181</v>
      </c>
      <c r="D299" s="5" t="n">
        <v>2</v>
      </c>
      <c r="E299" s="5" t="n">
        <v>0</v>
      </c>
      <c r="F299" s="5" t="n">
        <v>0</v>
      </c>
      <c r="G299" s="5" t="s">
        <v>1953</v>
      </c>
      <c r="H299" s="5" t="s">
        <v>1954</v>
      </c>
    </row>
    <row r="300" customFormat="false" ht="15" hidden="false" customHeight="false" outlineLevel="0" collapsed="false">
      <c r="A300" s="5" t="n">
        <v>299</v>
      </c>
      <c r="B300" s="5" t="s">
        <v>1955</v>
      </c>
      <c r="C300" s="5" t="s">
        <v>1181</v>
      </c>
      <c r="D300" s="5" t="n">
        <v>2</v>
      </c>
      <c r="E300" s="5" t="n">
        <v>0</v>
      </c>
      <c r="F300" s="5" t="n">
        <v>0</v>
      </c>
      <c r="G300" s="5" t="s">
        <v>1956</v>
      </c>
      <c r="H300" s="5" t="s">
        <v>1915</v>
      </c>
    </row>
    <row r="301" customFormat="false" ht="15" hidden="false" customHeight="false" outlineLevel="0" collapsed="false">
      <c r="A301" s="5" t="n">
        <v>300</v>
      </c>
      <c r="B301" s="5" t="s">
        <v>427</v>
      </c>
      <c r="C301" s="5" t="s">
        <v>1181</v>
      </c>
      <c r="D301" s="5" t="n">
        <v>2</v>
      </c>
      <c r="E301" s="5" t="n">
        <v>0</v>
      </c>
      <c r="F301" s="5" t="n">
        <v>0</v>
      </c>
      <c r="G301" s="5" t="s">
        <v>1957</v>
      </c>
      <c r="H301" s="5" t="s">
        <v>1958</v>
      </c>
    </row>
    <row r="302" customFormat="false" ht="15" hidden="false" customHeight="false" outlineLevel="0" collapsed="false">
      <c r="A302" s="5" t="n">
        <v>301</v>
      </c>
      <c r="B302" s="5" t="s">
        <v>1959</v>
      </c>
      <c r="C302" s="5" t="s">
        <v>1181</v>
      </c>
      <c r="D302" s="5" t="n">
        <v>2</v>
      </c>
      <c r="E302" s="5" t="n">
        <v>0</v>
      </c>
      <c r="F302" s="5" t="n">
        <v>0</v>
      </c>
      <c r="G302" s="5" t="s">
        <v>1960</v>
      </c>
      <c r="H302" s="5" t="s">
        <v>1961</v>
      </c>
    </row>
    <row r="303" customFormat="false" ht="15" hidden="false" customHeight="false" outlineLevel="0" collapsed="false">
      <c r="A303" s="5" t="n">
        <v>302</v>
      </c>
      <c r="B303" s="5" t="s">
        <v>1962</v>
      </c>
      <c r="C303" s="5" t="s">
        <v>1181</v>
      </c>
      <c r="D303" s="5" t="n">
        <v>2</v>
      </c>
      <c r="E303" s="5" t="n">
        <v>0</v>
      </c>
      <c r="F303" s="5" t="n">
        <v>0</v>
      </c>
      <c r="G303" s="5" t="s">
        <v>1963</v>
      </c>
      <c r="H303" s="5" t="s">
        <v>1964</v>
      </c>
    </row>
    <row r="304" customFormat="false" ht="15" hidden="false" customHeight="false" outlineLevel="0" collapsed="false">
      <c r="A304" s="5" t="n">
        <v>303</v>
      </c>
      <c r="B304" s="5" t="s">
        <v>1965</v>
      </c>
      <c r="C304" s="5" t="s">
        <v>1181</v>
      </c>
      <c r="D304" s="5" t="n">
        <v>2</v>
      </c>
      <c r="E304" s="5" t="n">
        <v>0</v>
      </c>
      <c r="F304" s="5" t="n">
        <v>0</v>
      </c>
      <c r="G304" s="5" t="s">
        <v>1966</v>
      </c>
      <c r="H304" s="5" t="s">
        <v>1967</v>
      </c>
    </row>
    <row r="305" customFormat="false" ht="15" hidden="false" customHeight="false" outlineLevel="0" collapsed="false">
      <c r="A305" s="5" t="n">
        <v>304</v>
      </c>
      <c r="B305" s="5" t="s">
        <v>1968</v>
      </c>
      <c r="C305" s="5" t="s">
        <v>1176</v>
      </c>
      <c r="D305" s="5" t="n">
        <v>2</v>
      </c>
      <c r="E305" s="5" t="n">
        <v>0</v>
      </c>
      <c r="F305" s="5" t="n">
        <v>0</v>
      </c>
      <c r="G305" s="5" t="s">
        <v>1969</v>
      </c>
      <c r="H305" s="5" t="s">
        <v>1970</v>
      </c>
    </row>
    <row r="306" customFormat="false" ht="15" hidden="false" customHeight="false" outlineLevel="0" collapsed="false">
      <c r="A306" s="5" t="n">
        <v>305</v>
      </c>
      <c r="B306" s="5" t="s">
        <v>1971</v>
      </c>
      <c r="C306" s="5" t="s">
        <v>1181</v>
      </c>
      <c r="D306" s="5" t="n">
        <v>2</v>
      </c>
      <c r="E306" s="5" t="n">
        <v>0</v>
      </c>
      <c r="F306" s="5" t="n">
        <v>0</v>
      </c>
      <c r="G306" s="5" t="s">
        <v>1972</v>
      </c>
      <c r="H306" s="5" t="s">
        <v>1961</v>
      </c>
    </row>
    <row r="307" customFormat="false" ht="15" hidden="false" customHeight="false" outlineLevel="0" collapsed="false">
      <c r="A307" s="5" t="n">
        <v>306</v>
      </c>
      <c r="B307" s="5" t="s">
        <v>1973</v>
      </c>
      <c r="C307" s="5" t="s">
        <v>1181</v>
      </c>
      <c r="D307" s="5" t="n">
        <v>2</v>
      </c>
      <c r="E307" s="5" t="n">
        <v>0</v>
      </c>
      <c r="F307" s="5" t="n">
        <v>0</v>
      </c>
      <c r="G307" s="5" t="s">
        <v>1974</v>
      </c>
      <c r="H307" s="5" t="s">
        <v>1975</v>
      </c>
    </row>
    <row r="308" customFormat="false" ht="15" hidden="false" customHeight="false" outlineLevel="0" collapsed="false">
      <c r="A308" s="5" t="n">
        <v>307</v>
      </c>
      <c r="B308" s="5" t="s">
        <v>1976</v>
      </c>
      <c r="C308" s="5" t="s">
        <v>1181</v>
      </c>
      <c r="D308" s="5" t="n">
        <v>2</v>
      </c>
      <c r="E308" s="5" t="n">
        <v>0</v>
      </c>
      <c r="F308" s="5" t="n">
        <v>0</v>
      </c>
      <c r="G308" s="5" t="s">
        <v>1977</v>
      </c>
      <c r="H308" s="5" t="s">
        <v>1967</v>
      </c>
    </row>
    <row r="309" customFormat="false" ht="15" hidden="false" customHeight="false" outlineLevel="0" collapsed="false">
      <c r="A309" s="5" t="n">
        <v>308</v>
      </c>
      <c r="B309" s="5" t="s">
        <v>1978</v>
      </c>
      <c r="C309" s="5" t="s">
        <v>1181</v>
      </c>
      <c r="D309" s="5" t="n">
        <v>2</v>
      </c>
      <c r="E309" s="5" t="n">
        <v>0</v>
      </c>
      <c r="F309" s="5" t="n">
        <v>0</v>
      </c>
      <c r="G309" s="5" t="s">
        <v>1979</v>
      </c>
      <c r="H309" s="5" t="s">
        <v>1980</v>
      </c>
    </row>
    <row r="310" customFormat="false" ht="15" hidden="false" customHeight="false" outlineLevel="0" collapsed="false">
      <c r="A310" s="5" t="n">
        <v>309</v>
      </c>
      <c r="B310" s="5" t="s">
        <v>1981</v>
      </c>
      <c r="C310" s="5" t="s">
        <v>1176</v>
      </c>
      <c r="D310" s="5" t="n">
        <v>2</v>
      </c>
      <c r="E310" s="5" t="n">
        <v>0</v>
      </c>
      <c r="F310" s="5" t="n">
        <v>0</v>
      </c>
      <c r="G310" s="5" t="s">
        <v>1982</v>
      </c>
      <c r="H310" s="5" t="s">
        <v>1983</v>
      </c>
    </row>
    <row r="311" customFormat="false" ht="15" hidden="false" customHeight="false" outlineLevel="0" collapsed="false">
      <c r="A311" s="5" t="n">
        <v>310</v>
      </c>
      <c r="B311" s="5" t="s">
        <v>1984</v>
      </c>
      <c r="C311" s="5" t="s">
        <v>1181</v>
      </c>
      <c r="D311" s="5" t="n">
        <v>2</v>
      </c>
      <c r="E311" s="5" t="n">
        <v>0</v>
      </c>
      <c r="F311" s="5" t="n">
        <v>0</v>
      </c>
      <c r="G311" s="5" t="s">
        <v>1985</v>
      </c>
      <c r="H311" s="5" t="s">
        <v>1986</v>
      </c>
    </row>
    <row r="312" customFormat="false" ht="15" hidden="false" customHeight="false" outlineLevel="0" collapsed="false">
      <c r="A312" s="5" t="n">
        <v>311</v>
      </c>
      <c r="B312" s="5" t="s">
        <v>1987</v>
      </c>
      <c r="C312" s="5" t="s">
        <v>1176</v>
      </c>
      <c r="D312" s="5" t="n">
        <v>2</v>
      </c>
      <c r="E312" s="5" t="n">
        <v>0</v>
      </c>
      <c r="F312" s="5" t="n">
        <v>0</v>
      </c>
      <c r="G312" s="5" t="s">
        <v>1988</v>
      </c>
      <c r="H312" s="5" t="s">
        <v>1989</v>
      </c>
    </row>
    <row r="313" customFormat="false" ht="15" hidden="false" customHeight="false" outlineLevel="0" collapsed="false">
      <c r="A313" s="5" t="n">
        <v>312</v>
      </c>
      <c r="B313" s="5" t="s">
        <v>1990</v>
      </c>
      <c r="C313" s="5" t="s">
        <v>1181</v>
      </c>
      <c r="D313" s="5" t="n">
        <v>2</v>
      </c>
      <c r="E313" s="5" t="n">
        <v>0</v>
      </c>
      <c r="F313" s="5" t="n">
        <v>0</v>
      </c>
      <c r="G313" s="5" t="s">
        <v>1991</v>
      </c>
      <c r="H313" s="5" t="s">
        <v>1992</v>
      </c>
    </row>
    <row r="314" customFormat="false" ht="15" hidden="false" customHeight="false" outlineLevel="0" collapsed="false">
      <c r="A314" s="5" t="n">
        <v>313</v>
      </c>
      <c r="B314" s="5" t="s">
        <v>1993</v>
      </c>
      <c r="C314" s="5" t="s">
        <v>1181</v>
      </c>
      <c r="D314" s="5" t="n">
        <v>2</v>
      </c>
      <c r="E314" s="5" t="n">
        <v>0</v>
      </c>
      <c r="F314" s="5" t="n">
        <v>0</v>
      </c>
      <c r="G314" s="5" t="s">
        <v>1994</v>
      </c>
      <c r="H314" s="5" t="s">
        <v>1995</v>
      </c>
    </row>
    <row r="315" customFormat="false" ht="15" hidden="false" customHeight="false" outlineLevel="0" collapsed="false">
      <c r="A315" s="5" t="n">
        <v>314</v>
      </c>
      <c r="B315" s="5" t="s">
        <v>420</v>
      </c>
      <c r="C315" s="5" t="s">
        <v>1181</v>
      </c>
      <c r="D315" s="5" t="n">
        <v>2</v>
      </c>
      <c r="E315" s="5" t="n">
        <v>0</v>
      </c>
      <c r="F315" s="5" t="n">
        <v>0</v>
      </c>
      <c r="G315" s="5" t="s">
        <v>1996</v>
      </c>
      <c r="H315" s="5" t="s">
        <v>1997</v>
      </c>
    </row>
    <row r="316" customFormat="false" ht="15" hidden="false" customHeight="false" outlineLevel="0" collapsed="false">
      <c r="A316" s="5" t="n">
        <v>315</v>
      </c>
      <c r="B316" s="5" t="s">
        <v>1998</v>
      </c>
      <c r="C316" s="5" t="s">
        <v>1181</v>
      </c>
      <c r="D316" s="5" t="n">
        <v>2</v>
      </c>
      <c r="E316" s="5" t="n">
        <v>0</v>
      </c>
      <c r="F316" s="5" t="n">
        <v>0</v>
      </c>
      <c r="G316" s="5" t="s">
        <v>1999</v>
      </c>
      <c r="H316" s="5" t="s">
        <v>2000</v>
      </c>
    </row>
    <row r="317" customFormat="false" ht="15" hidden="false" customHeight="false" outlineLevel="0" collapsed="false">
      <c r="A317" s="5" t="n">
        <v>316</v>
      </c>
      <c r="B317" s="5" t="s">
        <v>2001</v>
      </c>
      <c r="C317" s="5" t="s">
        <v>1181</v>
      </c>
      <c r="D317" s="5" t="n">
        <v>2</v>
      </c>
      <c r="E317" s="5" t="n">
        <v>0</v>
      </c>
      <c r="F317" s="5" t="n">
        <v>0</v>
      </c>
      <c r="G317" s="5" t="s">
        <v>2002</v>
      </c>
      <c r="H317" s="5" t="s">
        <v>2003</v>
      </c>
    </row>
    <row r="318" customFormat="false" ht="15" hidden="false" customHeight="false" outlineLevel="0" collapsed="false">
      <c r="A318" s="5" t="n">
        <v>317</v>
      </c>
      <c r="B318" s="5" t="s">
        <v>2004</v>
      </c>
      <c r="C318" s="5" t="s">
        <v>1181</v>
      </c>
      <c r="D318" s="5" t="n">
        <v>2</v>
      </c>
      <c r="E318" s="5" t="n">
        <v>0</v>
      </c>
      <c r="F318" s="5" t="n">
        <v>0</v>
      </c>
      <c r="G318" s="5" t="s">
        <v>2005</v>
      </c>
      <c r="H318" s="5" t="s">
        <v>1986</v>
      </c>
    </row>
    <row r="319" customFormat="false" ht="15" hidden="false" customHeight="false" outlineLevel="0" collapsed="false">
      <c r="A319" s="5" t="n">
        <v>318</v>
      </c>
      <c r="B319" s="5" t="s">
        <v>2006</v>
      </c>
      <c r="C319" s="5" t="s">
        <v>1181</v>
      </c>
      <c r="D319" s="5" t="n">
        <v>2</v>
      </c>
      <c r="E319" s="5" t="n">
        <v>0</v>
      </c>
      <c r="F319" s="5" t="n">
        <v>0</v>
      </c>
      <c r="G319" s="5" t="s">
        <v>2007</v>
      </c>
      <c r="H319" s="5" t="s">
        <v>2008</v>
      </c>
    </row>
    <row r="320" customFormat="false" ht="15" hidden="false" customHeight="false" outlineLevel="0" collapsed="false">
      <c r="A320" s="5" t="n">
        <v>319</v>
      </c>
      <c r="B320" s="5" t="s">
        <v>2009</v>
      </c>
      <c r="C320" s="5" t="s">
        <v>1176</v>
      </c>
      <c r="D320" s="5" t="n">
        <v>2</v>
      </c>
      <c r="E320" s="5" t="n">
        <v>0</v>
      </c>
      <c r="F320" s="5" t="n">
        <v>0</v>
      </c>
      <c r="G320" s="5" t="s">
        <v>2010</v>
      </c>
      <c r="H320" s="5" t="s">
        <v>2011</v>
      </c>
    </row>
    <row r="321" customFormat="false" ht="15" hidden="false" customHeight="false" outlineLevel="0" collapsed="false">
      <c r="A321" s="5" t="n">
        <v>320</v>
      </c>
      <c r="B321" s="5" t="s">
        <v>2012</v>
      </c>
      <c r="C321" s="5" t="s">
        <v>1181</v>
      </c>
      <c r="D321" s="5" t="n">
        <v>2</v>
      </c>
      <c r="E321" s="5" t="n">
        <v>0</v>
      </c>
      <c r="F321" s="5" t="n">
        <v>0</v>
      </c>
      <c r="G321" s="5" t="s">
        <v>2013</v>
      </c>
      <c r="H321" s="5" t="s">
        <v>2014</v>
      </c>
    </row>
    <row r="322" customFormat="false" ht="15" hidden="false" customHeight="false" outlineLevel="0" collapsed="false">
      <c r="A322" s="5" t="n">
        <v>321</v>
      </c>
      <c r="B322" s="5" t="s">
        <v>2015</v>
      </c>
      <c r="C322" s="5" t="s">
        <v>1181</v>
      </c>
      <c r="D322" s="5" t="n">
        <v>2</v>
      </c>
      <c r="E322" s="5" t="n">
        <v>0</v>
      </c>
      <c r="F322" s="5" t="n">
        <v>0</v>
      </c>
      <c r="G322" s="5" t="s">
        <v>2016</v>
      </c>
      <c r="H322" s="5" t="s">
        <v>2003</v>
      </c>
    </row>
    <row r="323" customFormat="false" ht="15" hidden="false" customHeight="false" outlineLevel="0" collapsed="false">
      <c r="A323" s="5" t="n">
        <v>322</v>
      </c>
      <c r="B323" s="5" t="s">
        <v>2017</v>
      </c>
      <c r="C323" s="5" t="s">
        <v>1181</v>
      </c>
      <c r="D323" s="5" t="n">
        <v>2</v>
      </c>
      <c r="E323" s="5" t="n">
        <v>0</v>
      </c>
      <c r="F323" s="5" t="n">
        <v>0</v>
      </c>
      <c r="G323" s="5" t="s">
        <v>2018</v>
      </c>
      <c r="H323" s="5" t="s">
        <v>2008</v>
      </c>
    </row>
    <row r="324" customFormat="false" ht="15" hidden="false" customHeight="false" outlineLevel="0" collapsed="false">
      <c r="A324" s="5" t="n">
        <v>323</v>
      </c>
      <c r="B324" s="5" t="s">
        <v>2019</v>
      </c>
      <c r="C324" s="5" t="s">
        <v>1181</v>
      </c>
      <c r="D324" s="5" t="n">
        <v>2</v>
      </c>
      <c r="E324" s="5" t="n">
        <v>0</v>
      </c>
      <c r="F324" s="5" t="n">
        <v>0</v>
      </c>
      <c r="G324" s="5" t="s">
        <v>2020</v>
      </c>
      <c r="H324" s="5" t="s">
        <v>2021</v>
      </c>
    </row>
    <row r="325" customFormat="false" ht="15" hidden="false" customHeight="false" outlineLevel="0" collapsed="false">
      <c r="A325" s="5" t="n">
        <v>324</v>
      </c>
      <c r="B325" s="5" t="s">
        <v>2022</v>
      </c>
      <c r="C325" s="5" t="s">
        <v>1181</v>
      </c>
      <c r="D325" s="5" t="n">
        <v>2</v>
      </c>
      <c r="E325" s="5" t="n">
        <v>0</v>
      </c>
      <c r="F325" s="5" t="n">
        <v>0</v>
      </c>
      <c r="G325" s="5" t="s">
        <v>2023</v>
      </c>
      <c r="H325" s="5" t="s">
        <v>2024</v>
      </c>
    </row>
    <row r="326" customFormat="false" ht="15" hidden="false" customHeight="false" outlineLevel="0" collapsed="false">
      <c r="A326" s="5" t="n">
        <v>325</v>
      </c>
      <c r="B326" s="5" t="s">
        <v>2025</v>
      </c>
      <c r="C326" s="5" t="s">
        <v>1181</v>
      </c>
      <c r="D326" s="5" t="n">
        <v>2</v>
      </c>
      <c r="E326" s="5" t="n">
        <v>0</v>
      </c>
      <c r="F326" s="5" t="n">
        <v>0</v>
      </c>
      <c r="G326" s="5" t="s">
        <v>2026</v>
      </c>
      <c r="H326" s="5" t="s">
        <v>2027</v>
      </c>
    </row>
    <row r="327" customFormat="false" ht="15" hidden="false" customHeight="false" outlineLevel="0" collapsed="false">
      <c r="A327" s="5" t="n">
        <v>326</v>
      </c>
      <c r="B327" s="5" t="s">
        <v>2028</v>
      </c>
      <c r="C327" s="5" t="s">
        <v>1181</v>
      </c>
      <c r="D327" s="5" t="n">
        <v>2</v>
      </c>
      <c r="E327" s="5" t="n">
        <v>0</v>
      </c>
      <c r="F327" s="5" t="n">
        <v>0</v>
      </c>
      <c r="G327" s="5" t="s">
        <v>2029</v>
      </c>
      <c r="H327" s="5" t="s">
        <v>1946</v>
      </c>
    </row>
    <row r="328" customFormat="false" ht="15" hidden="false" customHeight="false" outlineLevel="0" collapsed="false">
      <c r="A328" s="5" t="n">
        <v>327</v>
      </c>
      <c r="B328" s="5" t="s">
        <v>2030</v>
      </c>
      <c r="C328" s="5" t="s">
        <v>1181</v>
      </c>
      <c r="D328" s="5" t="n">
        <v>2</v>
      </c>
      <c r="E328" s="5" t="n">
        <v>0</v>
      </c>
      <c r="F328" s="5" t="n">
        <v>0</v>
      </c>
      <c r="G328" s="5" t="s">
        <v>2031</v>
      </c>
      <c r="H328" s="5" t="s">
        <v>2032</v>
      </c>
    </row>
    <row r="329" customFormat="false" ht="15" hidden="false" customHeight="false" outlineLevel="0" collapsed="false">
      <c r="A329" s="5" t="n">
        <v>328</v>
      </c>
      <c r="B329" s="5" t="s">
        <v>2033</v>
      </c>
      <c r="C329" s="5" t="s">
        <v>1181</v>
      </c>
      <c r="D329" s="5" t="n">
        <v>2</v>
      </c>
      <c r="E329" s="5" t="n">
        <v>0</v>
      </c>
      <c r="F329" s="5" t="n">
        <v>0</v>
      </c>
      <c r="G329" s="5" t="s">
        <v>2034</v>
      </c>
      <c r="H329" s="5" t="s">
        <v>2035</v>
      </c>
    </row>
    <row r="330" customFormat="false" ht="15" hidden="false" customHeight="false" outlineLevel="0" collapsed="false">
      <c r="A330" s="5" t="n">
        <v>329</v>
      </c>
      <c r="B330" s="5" t="s">
        <v>2036</v>
      </c>
      <c r="C330" s="5" t="s">
        <v>1181</v>
      </c>
      <c r="D330" s="5" t="n">
        <v>2</v>
      </c>
      <c r="E330" s="5" t="n">
        <v>0</v>
      </c>
      <c r="F330" s="5" t="n">
        <v>0</v>
      </c>
      <c r="G330" s="5" t="s">
        <v>2037</v>
      </c>
      <c r="H330" s="5" t="s">
        <v>2038</v>
      </c>
    </row>
    <row r="331" customFormat="false" ht="15" hidden="false" customHeight="false" outlineLevel="0" collapsed="false">
      <c r="A331" s="5" t="n">
        <v>330</v>
      </c>
      <c r="B331" s="5" t="s">
        <v>2039</v>
      </c>
      <c r="C331" s="5" t="s">
        <v>1181</v>
      </c>
      <c r="D331" s="5" t="n">
        <v>2</v>
      </c>
      <c r="E331" s="5" t="n">
        <v>0</v>
      </c>
      <c r="F331" s="5" t="n">
        <v>0</v>
      </c>
      <c r="G331" s="5" t="s">
        <v>2040</v>
      </c>
      <c r="H331" s="5" t="s">
        <v>2041</v>
      </c>
    </row>
    <row r="332" customFormat="false" ht="15" hidden="false" customHeight="false" outlineLevel="0" collapsed="false">
      <c r="A332" s="5" t="n">
        <v>331</v>
      </c>
      <c r="B332" s="5" t="s">
        <v>2042</v>
      </c>
      <c r="C332" s="5" t="s">
        <v>1181</v>
      </c>
      <c r="D332" s="5" t="n">
        <v>2</v>
      </c>
      <c r="E332" s="5" t="n">
        <v>0</v>
      </c>
      <c r="F332" s="5" t="n">
        <v>0</v>
      </c>
      <c r="G332" s="5" t="s">
        <v>2043</v>
      </c>
      <c r="H332" s="5" t="s">
        <v>2044</v>
      </c>
    </row>
    <row r="333" customFormat="false" ht="15" hidden="false" customHeight="false" outlineLevel="0" collapsed="false">
      <c r="A333" s="5" t="n">
        <v>332</v>
      </c>
      <c r="B333" s="5" t="s">
        <v>2045</v>
      </c>
      <c r="C333" s="5" t="s">
        <v>1181</v>
      </c>
      <c r="D333" s="5" t="n">
        <v>2</v>
      </c>
      <c r="E333" s="5" t="n">
        <v>0</v>
      </c>
      <c r="F333" s="5" t="n">
        <v>0</v>
      </c>
      <c r="G333" s="5" t="s">
        <v>2046</v>
      </c>
      <c r="H333" s="5" t="s">
        <v>2047</v>
      </c>
    </row>
    <row r="334" customFormat="false" ht="15" hidden="false" customHeight="false" outlineLevel="0" collapsed="false">
      <c r="A334" s="5" t="n">
        <v>333</v>
      </c>
      <c r="B334" s="5" t="s">
        <v>2048</v>
      </c>
      <c r="C334" s="5" t="s">
        <v>1181</v>
      </c>
      <c r="D334" s="5" t="n">
        <v>2</v>
      </c>
      <c r="E334" s="5" t="n">
        <v>0</v>
      </c>
      <c r="F334" s="5" t="n">
        <v>0</v>
      </c>
      <c r="G334" s="5" t="s">
        <v>2049</v>
      </c>
      <c r="H334" s="5" t="s">
        <v>1975</v>
      </c>
    </row>
    <row r="335" customFormat="false" ht="15" hidden="false" customHeight="false" outlineLevel="0" collapsed="false">
      <c r="A335" s="5" t="n">
        <v>334</v>
      </c>
      <c r="B335" s="5" t="s">
        <v>422</v>
      </c>
      <c r="C335" s="5" t="s">
        <v>1181</v>
      </c>
      <c r="D335" s="5" t="n">
        <v>2</v>
      </c>
      <c r="E335" s="5" t="n">
        <v>0</v>
      </c>
      <c r="F335" s="5" t="n">
        <v>0</v>
      </c>
      <c r="G335" s="5" t="s">
        <v>2050</v>
      </c>
      <c r="H335" s="5" t="s">
        <v>2051</v>
      </c>
    </row>
    <row r="336" customFormat="false" ht="15" hidden="false" customHeight="false" outlineLevel="0" collapsed="false">
      <c r="A336" s="5" t="n">
        <v>335</v>
      </c>
      <c r="B336" s="5" t="s">
        <v>2052</v>
      </c>
      <c r="C336" s="5" t="s">
        <v>1181</v>
      </c>
      <c r="D336" s="5" t="n">
        <v>2</v>
      </c>
      <c r="E336" s="5" t="n">
        <v>0</v>
      </c>
      <c r="F336" s="5" t="n">
        <v>0</v>
      </c>
      <c r="G336" s="5" t="s">
        <v>2053</v>
      </c>
      <c r="H336" s="5" t="s">
        <v>2054</v>
      </c>
    </row>
    <row r="337" customFormat="false" ht="15" hidden="false" customHeight="false" outlineLevel="0" collapsed="false">
      <c r="A337" s="5" t="n">
        <v>336</v>
      </c>
      <c r="B337" s="5" t="s">
        <v>2055</v>
      </c>
      <c r="C337" s="5" t="s">
        <v>1181</v>
      </c>
      <c r="D337" s="5" t="n">
        <v>2</v>
      </c>
      <c r="E337" s="5" t="n">
        <v>0</v>
      </c>
      <c r="F337" s="5" t="n">
        <v>0</v>
      </c>
      <c r="G337" s="5" t="s">
        <v>2056</v>
      </c>
      <c r="H337" s="5" t="s">
        <v>1964</v>
      </c>
    </row>
    <row r="338" customFormat="false" ht="15" hidden="false" customHeight="false" outlineLevel="0" collapsed="false">
      <c r="A338" s="5" t="n">
        <v>337</v>
      </c>
      <c r="B338" s="5" t="s">
        <v>2057</v>
      </c>
      <c r="C338" s="5" t="s">
        <v>1181</v>
      </c>
      <c r="D338" s="5" t="n">
        <v>2</v>
      </c>
      <c r="E338" s="5" t="n">
        <v>0</v>
      </c>
      <c r="F338" s="5" t="n">
        <v>0</v>
      </c>
      <c r="G338" s="5" t="s">
        <v>2058</v>
      </c>
      <c r="H338" s="5" t="s">
        <v>2014</v>
      </c>
    </row>
    <row r="339" customFormat="false" ht="15" hidden="false" customHeight="false" outlineLevel="0" collapsed="false">
      <c r="A339" s="5" t="n">
        <v>338</v>
      </c>
      <c r="B339" s="5" t="s">
        <v>2059</v>
      </c>
      <c r="C339" s="5" t="s">
        <v>1181</v>
      </c>
      <c r="D339" s="5" t="n">
        <v>2</v>
      </c>
      <c r="E339" s="5" t="n">
        <v>0</v>
      </c>
      <c r="F339" s="5" t="n">
        <v>0</v>
      </c>
      <c r="G339" s="5" t="s">
        <v>2060</v>
      </c>
      <c r="H339" s="5" t="s">
        <v>2061</v>
      </c>
    </row>
    <row r="340" customFormat="false" ht="15" hidden="false" customHeight="false" outlineLevel="0" collapsed="false">
      <c r="A340" s="5" t="n">
        <v>339</v>
      </c>
      <c r="B340" s="5" t="s">
        <v>2062</v>
      </c>
      <c r="C340" s="5" t="s">
        <v>1181</v>
      </c>
      <c r="D340" s="5" t="n">
        <v>2</v>
      </c>
      <c r="E340" s="5" t="n">
        <v>0</v>
      </c>
      <c r="F340" s="5" t="n">
        <v>0</v>
      </c>
      <c r="G340" s="5" t="s">
        <v>2063</v>
      </c>
      <c r="H340" s="5" t="s">
        <v>2064</v>
      </c>
    </row>
    <row r="341" customFormat="false" ht="15" hidden="false" customHeight="false" outlineLevel="0" collapsed="false">
      <c r="A341" s="5" t="n">
        <v>340</v>
      </c>
      <c r="B341" s="5" t="s">
        <v>2065</v>
      </c>
      <c r="C341" s="5" t="s">
        <v>1181</v>
      </c>
      <c r="D341" s="5" t="n">
        <v>2</v>
      </c>
      <c r="E341" s="5" t="n">
        <v>0</v>
      </c>
      <c r="F341" s="5" t="n">
        <v>0</v>
      </c>
      <c r="G341" s="5" t="s">
        <v>2066</v>
      </c>
      <c r="H341" s="5" t="s">
        <v>1946</v>
      </c>
    </row>
    <row r="342" customFormat="false" ht="15" hidden="false" customHeight="false" outlineLevel="0" collapsed="false">
      <c r="A342" s="5" t="n">
        <v>341</v>
      </c>
      <c r="B342" s="5" t="s">
        <v>2067</v>
      </c>
      <c r="C342" s="5" t="s">
        <v>1181</v>
      </c>
      <c r="D342" s="5" t="n">
        <v>2</v>
      </c>
      <c r="E342" s="5" t="n">
        <v>0</v>
      </c>
      <c r="F342" s="5" t="n">
        <v>0</v>
      </c>
      <c r="G342" s="5" t="s">
        <v>2068</v>
      </c>
      <c r="H342" s="5" t="s">
        <v>2069</v>
      </c>
    </row>
    <row r="343" customFormat="false" ht="15" hidden="false" customHeight="false" outlineLevel="0" collapsed="false">
      <c r="A343" s="5" t="n">
        <v>342</v>
      </c>
      <c r="B343" s="5" t="s">
        <v>2070</v>
      </c>
      <c r="C343" s="5" t="s">
        <v>1181</v>
      </c>
      <c r="D343" s="5" t="n">
        <v>2</v>
      </c>
      <c r="E343" s="5" t="n">
        <v>0</v>
      </c>
      <c r="F343" s="5" t="n">
        <v>0</v>
      </c>
      <c r="G343" s="5" t="s">
        <v>2071</v>
      </c>
      <c r="H343" s="5" t="s">
        <v>2072</v>
      </c>
    </row>
    <row r="344" customFormat="false" ht="15" hidden="false" customHeight="false" outlineLevel="0" collapsed="false">
      <c r="A344" s="5" t="n">
        <v>343</v>
      </c>
      <c r="B344" s="5" t="s">
        <v>2073</v>
      </c>
      <c r="C344" s="5" t="s">
        <v>1181</v>
      </c>
      <c r="D344" s="5" t="n">
        <v>2</v>
      </c>
      <c r="E344" s="5" t="n">
        <v>0</v>
      </c>
      <c r="F344" s="5" t="n">
        <v>0</v>
      </c>
      <c r="G344" s="5" t="s">
        <v>2074</v>
      </c>
      <c r="H344" s="5" t="s">
        <v>1946</v>
      </c>
    </row>
    <row r="345" customFormat="false" ht="15" hidden="false" customHeight="false" outlineLevel="0" collapsed="false">
      <c r="A345" s="5" t="n">
        <v>344</v>
      </c>
      <c r="B345" s="5" t="s">
        <v>2075</v>
      </c>
      <c r="C345" s="5" t="s">
        <v>1181</v>
      </c>
      <c r="D345" s="5" t="n">
        <v>2</v>
      </c>
      <c r="E345" s="5" t="n">
        <v>0</v>
      </c>
      <c r="F345" s="5" t="n">
        <v>0</v>
      </c>
      <c r="G345" s="5" t="s">
        <v>2076</v>
      </c>
      <c r="H345" s="5" t="s">
        <v>1970</v>
      </c>
    </row>
    <row r="346" customFormat="false" ht="15" hidden="false" customHeight="false" outlineLevel="0" collapsed="false">
      <c r="A346" s="5" t="n">
        <v>345</v>
      </c>
      <c r="B346" s="5" t="s">
        <v>2077</v>
      </c>
      <c r="C346" s="5" t="s">
        <v>1181</v>
      </c>
      <c r="D346" s="5" t="n">
        <v>2</v>
      </c>
      <c r="E346" s="5" t="n">
        <v>0</v>
      </c>
      <c r="F346" s="5" t="n">
        <v>0</v>
      </c>
      <c r="G346" s="5" t="s">
        <v>2078</v>
      </c>
      <c r="H346" s="5" t="s">
        <v>2079</v>
      </c>
    </row>
    <row r="347" customFormat="false" ht="15" hidden="false" customHeight="false" outlineLevel="0" collapsed="false">
      <c r="A347" s="5" t="n">
        <v>346</v>
      </c>
      <c r="B347" s="5" t="s">
        <v>2080</v>
      </c>
      <c r="C347" s="5" t="s">
        <v>1181</v>
      </c>
      <c r="D347" s="5" t="n">
        <v>2</v>
      </c>
      <c r="E347" s="5" t="n">
        <v>0</v>
      </c>
      <c r="F347" s="5" t="n">
        <v>0</v>
      </c>
      <c r="G347" s="5" t="s">
        <v>2081</v>
      </c>
      <c r="H347" s="5" t="s">
        <v>2082</v>
      </c>
    </row>
    <row r="348" customFormat="false" ht="15" hidden="false" customHeight="false" outlineLevel="0" collapsed="false">
      <c r="A348" s="5" t="n">
        <v>347</v>
      </c>
      <c r="B348" s="5" t="s">
        <v>2083</v>
      </c>
      <c r="C348" s="5" t="s">
        <v>1181</v>
      </c>
      <c r="D348" s="5" t="n">
        <v>2</v>
      </c>
      <c r="E348" s="5" t="n">
        <v>0</v>
      </c>
      <c r="F348" s="5" t="n">
        <v>0</v>
      </c>
      <c r="G348" s="5" t="s">
        <v>2084</v>
      </c>
      <c r="H348" s="5" t="s">
        <v>2085</v>
      </c>
    </row>
    <row r="349" customFormat="false" ht="15" hidden="false" customHeight="false" outlineLevel="0" collapsed="false">
      <c r="A349" s="5" t="n">
        <v>348</v>
      </c>
      <c r="B349" s="5" t="s">
        <v>2086</v>
      </c>
      <c r="C349" s="5" t="s">
        <v>1181</v>
      </c>
      <c r="D349" s="5" t="n">
        <v>2</v>
      </c>
      <c r="E349" s="5" t="n">
        <v>0</v>
      </c>
      <c r="F349" s="5" t="n">
        <v>0</v>
      </c>
      <c r="G349" s="5" t="s">
        <v>2087</v>
      </c>
      <c r="H349" s="5" t="s">
        <v>2088</v>
      </c>
    </row>
    <row r="350" customFormat="false" ht="15" hidden="false" customHeight="false" outlineLevel="0" collapsed="false">
      <c r="A350" s="5" t="n">
        <v>349</v>
      </c>
      <c r="B350" s="5" t="s">
        <v>2089</v>
      </c>
      <c r="C350" s="5" t="s">
        <v>1181</v>
      </c>
      <c r="D350" s="5" t="n">
        <v>2</v>
      </c>
      <c r="E350" s="5" t="n">
        <v>0</v>
      </c>
      <c r="F350" s="5" t="n">
        <v>0</v>
      </c>
      <c r="G350" s="5" t="s">
        <v>2090</v>
      </c>
      <c r="H350" s="5" t="s">
        <v>2091</v>
      </c>
    </row>
    <row r="351" customFormat="false" ht="15" hidden="false" customHeight="false" outlineLevel="0" collapsed="false">
      <c r="A351" s="5" t="n">
        <v>350</v>
      </c>
      <c r="B351" s="5" t="s">
        <v>2092</v>
      </c>
      <c r="C351" s="5" t="s">
        <v>1176</v>
      </c>
      <c r="D351" s="5" t="n">
        <v>2</v>
      </c>
      <c r="E351" s="5" t="n">
        <v>0</v>
      </c>
      <c r="F351" s="5" t="n">
        <v>0</v>
      </c>
      <c r="G351" s="5" t="s">
        <v>2093</v>
      </c>
      <c r="H351" s="5" t="s">
        <v>2011</v>
      </c>
    </row>
    <row r="352" customFormat="false" ht="15" hidden="false" customHeight="false" outlineLevel="0" collapsed="false">
      <c r="A352" s="5" t="n">
        <v>351</v>
      </c>
      <c r="B352" s="5" t="s">
        <v>2094</v>
      </c>
      <c r="C352" s="5" t="s">
        <v>1181</v>
      </c>
      <c r="D352" s="5" t="n">
        <v>2</v>
      </c>
      <c r="E352" s="5" t="n">
        <v>0</v>
      </c>
      <c r="F352" s="5" t="n">
        <v>0</v>
      </c>
      <c r="G352" s="5" t="s">
        <v>2095</v>
      </c>
      <c r="H352" s="5" t="s">
        <v>2096</v>
      </c>
    </row>
    <row r="353" customFormat="false" ht="15" hidden="false" customHeight="false" outlineLevel="0" collapsed="false">
      <c r="A353" s="5" t="n">
        <v>352</v>
      </c>
      <c r="B353" s="5" t="s">
        <v>2097</v>
      </c>
      <c r="C353" s="5" t="s">
        <v>1176</v>
      </c>
      <c r="D353" s="5" t="n">
        <v>2</v>
      </c>
      <c r="E353" s="5" t="n">
        <v>0</v>
      </c>
      <c r="F353" s="5" t="n">
        <v>0</v>
      </c>
      <c r="G353" s="5" t="s">
        <v>2098</v>
      </c>
      <c r="H353" s="5" t="s">
        <v>2099</v>
      </c>
    </row>
    <row r="354" customFormat="false" ht="15" hidden="false" customHeight="false" outlineLevel="0" collapsed="false">
      <c r="A354" s="5" t="n">
        <v>353</v>
      </c>
      <c r="B354" s="5" t="s">
        <v>2100</v>
      </c>
      <c r="C354" s="5" t="s">
        <v>1181</v>
      </c>
      <c r="D354" s="5" t="n">
        <v>2</v>
      </c>
      <c r="E354" s="5" t="n">
        <v>0</v>
      </c>
      <c r="F354" s="5" t="n">
        <v>0</v>
      </c>
      <c r="G354" s="5" t="s">
        <v>2101</v>
      </c>
      <c r="H354" s="5" t="s">
        <v>1975</v>
      </c>
    </row>
    <row r="355" customFormat="false" ht="15" hidden="false" customHeight="false" outlineLevel="0" collapsed="false">
      <c r="A355" s="5" t="n">
        <v>354</v>
      </c>
      <c r="B355" s="5" t="s">
        <v>2102</v>
      </c>
      <c r="C355" s="5" t="s">
        <v>1181</v>
      </c>
      <c r="D355" s="5" t="n">
        <v>2</v>
      </c>
      <c r="E355" s="5" t="n">
        <v>0</v>
      </c>
      <c r="F355" s="5" t="n">
        <v>0</v>
      </c>
      <c r="G355" s="5" t="s">
        <v>2103</v>
      </c>
      <c r="H355" s="5" t="s">
        <v>1915</v>
      </c>
    </row>
    <row r="356" customFormat="false" ht="15" hidden="false" customHeight="false" outlineLevel="0" collapsed="false">
      <c r="A356" s="5" t="n">
        <v>355</v>
      </c>
      <c r="B356" s="5" t="s">
        <v>2104</v>
      </c>
      <c r="C356" s="5" t="s">
        <v>1181</v>
      </c>
      <c r="D356" s="5" t="n">
        <v>2</v>
      </c>
      <c r="E356" s="5" t="n">
        <v>0</v>
      </c>
      <c r="F356" s="5" t="n">
        <v>0</v>
      </c>
      <c r="G356" s="5" t="s">
        <v>2105</v>
      </c>
      <c r="H356" s="5" t="s">
        <v>2106</v>
      </c>
    </row>
    <row r="357" customFormat="false" ht="15" hidden="false" customHeight="false" outlineLevel="0" collapsed="false">
      <c r="A357" s="5" t="n">
        <v>356</v>
      </c>
      <c r="B357" s="5" t="s">
        <v>2107</v>
      </c>
      <c r="C357" s="5" t="s">
        <v>1181</v>
      </c>
      <c r="D357" s="5" t="n">
        <v>2</v>
      </c>
      <c r="E357" s="5" t="n">
        <v>0</v>
      </c>
      <c r="F357" s="5" t="n">
        <v>0</v>
      </c>
      <c r="G357" s="5" t="s">
        <v>2108</v>
      </c>
      <c r="H357" s="5" t="s">
        <v>2109</v>
      </c>
    </row>
    <row r="358" customFormat="false" ht="15" hidden="false" customHeight="false" outlineLevel="0" collapsed="false">
      <c r="A358" s="5" t="n">
        <v>357</v>
      </c>
      <c r="B358" s="5" t="s">
        <v>2110</v>
      </c>
      <c r="C358" s="5" t="s">
        <v>1181</v>
      </c>
      <c r="D358" s="5" t="n">
        <v>2</v>
      </c>
      <c r="E358" s="5" t="n">
        <v>0</v>
      </c>
      <c r="F358" s="5" t="n">
        <v>0</v>
      </c>
      <c r="G358" s="5" t="s">
        <v>2111</v>
      </c>
      <c r="H358" s="5" t="s">
        <v>2112</v>
      </c>
    </row>
    <row r="359" customFormat="false" ht="15" hidden="false" customHeight="false" outlineLevel="0" collapsed="false">
      <c r="A359" s="5" t="n">
        <v>358</v>
      </c>
      <c r="B359" s="5" t="s">
        <v>2113</v>
      </c>
      <c r="C359" s="5" t="s">
        <v>1181</v>
      </c>
      <c r="D359" s="5" t="n">
        <v>2</v>
      </c>
      <c r="E359" s="5" t="n">
        <v>0</v>
      </c>
      <c r="F359" s="5" t="n">
        <v>0</v>
      </c>
      <c r="G359" s="5" t="s">
        <v>2114</v>
      </c>
      <c r="H359" s="5" t="s">
        <v>2115</v>
      </c>
    </row>
    <row r="360" customFormat="false" ht="15" hidden="false" customHeight="false" outlineLevel="0" collapsed="false">
      <c r="A360" s="5" t="n">
        <v>359</v>
      </c>
      <c r="B360" s="5" t="s">
        <v>2116</v>
      </c>
      <c r="C360" s="5" t="s">
        <v>1181</v>
      </c>
      <c r="D360" s="5" t="n">
        <v>2</v>
      </c>
      <c r="E360" s="5" t="n">
        <v>0</v>
      </c>
      <c r="F360" s="5" t="n">
        <v>0</v>
      </c>
      <c r="G360" s="5" t="s">
        <v>2117</v>
      </c>
      <c r="H360" s="5" t="s">
        <v>2118</v>
      </c>
    </row>
    <row r="361" customFormat="false" ht="15" hidden="false" customHeight="false" outlineLevel="0" collapsed="false">
      <c r="A361" s="5" t="n">
        <v>360</v>
      </c>
      <c r="B361" s="5" t="s">
        <v>2119</v>
      </c>
      <c r="C361" s="5" t="s">
        <v>1181</v>
      </c>
      <c r="D361" s="5" t="n">
        <v>2</v>
      </c>
      <c r="E361" s="5" t="n">
        <v>0</v>
      </c>
      <c r="F361" s="5" t="n">
        <v>0</v>
      </c>
      <c r="G361" s="5" t="s">
        <v>2120</v>
      </c>
      <c r="H361" s="5" t="s">
        <v>1946</v>
      </c>
    </row>
    <row r="362" customFormat="false" ht="15" hidden="false" customHeight="false" outlineLevel="0" collapsed="false">
      <c r="A362" s="5" t="n">
        <v>361</v>
      </c>
      <c r="B362" s="5" t="s">
        <v>2121</v>
      </c>
      <c r="C362" s="5" t="s">
        <v>1181</v>
      </c>
      <c r="D362" s="5" t="n">
        <v>2</v>
      </c>
      <c r="E362" s="5" t="n">
        <v>0</v>
      </c>
      <c r="F362" s="5" t="n">
        <v>0</v>
      </c>
      <c r="G362" s="5" t="s">
        <v>2122</v>
      </c>
      <c r="H362" s="5" t="s">
        <v>2123</v>
      </c>
    </row>
    <row r="363" customFormat="false" ht="15" hidden="false" customHeight="false" outlineLevel="0" collapsed="false">
      <c r="A363" s="5" t="n">
        <v>362</v>
      </c>
      <c r="B363" s="5" t="s">
        <v>2124</v>
      </c>
      <c r="C363" s="5" t="s">
        <v>1176</v>
      </c>
      <c r="D363" s="5" t="n">
        <v>2</v>
      </c>
      <c r="E363" s="5" t="n">
        <v>0</v>
      </c>
      <c r="F363" s="5" t="n">
        <v>0</v>
      </c>
      <c r="G363" s="5" t="s">
        <v>2125</v>
      </c>
      <c r="H363" s="5" t="s">
        <v>2126</v>
      </c>
    </row>
    <row r="364" customFormat="false" ht="15" hidden="false" customHeight="false" outlineLevel="0" collapsed="false">
      <c r="A364" s="5" t="n">
        <v>363</v>
      </c>
      <c r="B364" s="5" t="s">
        <v>2127</v>
      </c>
      <c r="C364" s="5" t="s">
        <v>1181</v>
      </c>
      <c r="D364" s="5" t="n">
        <v>2</v>
      </c>
      <c r="E364" s="5" t="n">
        <v>0</v>
      </c>
      <c r="F364" s="5" t="n">
        <v>0</v>
      </c>
      <c r="G364" s="5" t="s">
        <v>2128</v>
      </c>
      <c r="H364" s="5" t="s">
        <v>2129</v>
      </c>
    </row>
    <row r="365" customFormat="false" ht="15" hidden="false" customHeight="false" outlineLevel="0" collapsed="false">
      <c r="A365" s="5" t="n">
        <v>364</v>
      </c>
      <c r="B365" s="5" t="s">
        <v>342</v>
      </c>
      <c r="C365" s="5" t="s">
        <v>1181</v>
      </c>
      <c r="D365" s="5" t="n">
        <v>2</v>
      </c>
      <c r="E365" s="5" t="n">
        <v>0</v>
      </c>
      <c r="F365" s="5" t="n">
        <v>0</v>
      </c>
      <c r="G365" s="5" t="s">
        <v>2130</v>
      </c>
      <c r="H365" s="5" t="s">
        <v>2131</v>
      </c>
    </row>
    <row r="366" customFormat="false" ht="15" hidden="false" customHeight="false" outlineLevel="0" collapsed="false">
      <c r="A366" s="5" t="n">
        <v>365</v>
      </c>
      <c r="B366" s="5" t="s">
        <v>2132</v>
      </c>
      <c r="C366" s="5" t="s">
        <v>1181</v>
      </c>
      <c r="D366" s="5" t="n">
        <v>2</v>
      </c>
      <c r="E366" s="5" t="n">
        <v>0</v>
      </c>
      <c r="F366" s="5" t="n">
        <v>0</v>
      </c>
      <c r="G366" s="5" t="s">
        <v>2133</v>
      </c>
      <c r="H366" s="5" t="s">
        <v>1964</v>
      </c>
    </row>
    <row r="367" customFormat="false" ht="15" hidden="false" customHeight="false" outlineLevel="0" collapsed="false">
      <c r="A367" s="5" t="n">
        <v>366</v>
      </c>
      <c r="B367" s="5" t="s">
        <v>1129</v>
      </c>
      <c r="C367" s="5" t="s">
        <v>1181</v>
      </c>
      <c r="D367" s="5" t="n">
        <v>2</v>
      </c>
      <c r="E367" s="5" t="n">
        <v>0</v>
      </c>
      <c r="F367" s="5" t="n">
        <v>0</v>
      </c>
      <c r="G367" s="5" t="s">
        <v>2134</v>
      </c>
      <c r="H367" s="5" t="s">
        <v>2135</v>
      </c>
    </row>
    <row r="368" customFormat="false" ht="15" hidden="false" customHeight="false" outlineLevel="0" collapsed="false">
      <c r="A368" s="5" t="n">
        <v>367</v>
      </c>
      <c r="B368" s="5" t="s">
        <v>2136</v>
      </c>
      <c r="C368" s="5" t="s">
        <v>1181</v>
      </c>
      <c r="D368" s="5" t="n">
        <v>2</v>
      </c>
      <c r="E368" s="5" t="n">
        <v>0</v>
      </c>
      <c r="F368" s="5" t="n">
        <v>0</v>
      </c>
      <c r="G368" s="5" t="s">
        <v>2137</v>
      </c>
      <c r="H368" s="5" t="s">
        <v>1975</v>
      </c>
    </row>
    <row r="369" customFormat="false" ht="15" hidden="false" customHeight="false" outlineLevel="0" collapsed="false">
      <c r="A369" s="5" t="n">
        <v>368</v>
      </c>
      <c r="B369" s="5" t="s">
        <v>2138</v>
      </c>
      <c r="C369" s="5" t="s">
        <v>1181</v>
      </c>
      <c r="D369" s="5" t="n">
        <v>2</v>
      </c>
      <c r="E369" s="5" t="n">
        <v>0</v>
      </c>
      <c r="F369" s="5" t="n">
        <v>0</v>
      </c>
      <c r="G369" s="5" t="s">
        <v>2139</v>
      </c>
      <c r="H369" s="5" t="s">
        <v>2140</v>
      </c>
    </row>
    <row r="370" customFormat="false" ht="15" hidden="false" customHeight="false" outlineLevel="0" collapsed="false">
      <c r="A370" s="5" t="n">
        <v>369</v>
      </c>
      <c r="B370" s="5" t="s">
        <v>2141</v>
      </c>
      <c r="C370" s="5" t="s">
        <v>1181</v>
      </c>
      <c r="D370" s="5" t="n">
        <v>2</v>
      </c>
      <c r="E370" s="5" t="n">
        <v>0</v>
      </c>
      <c r="F370" s="5" t="n">
        <v>0</v>
      </c>
      <c r="G370" s="5" t="s">
        <v>2142</v>
      </c>
      <c r="H370" s="5" t="s">
        <v>2143</v>
      </c>
    </row>
    <row r="371" customFormat="false" ht="15" hidden="false" customHeight="false" outlineLevel="0" collapsed="false">
      <c r="A371" s="5" t="n">
        <v>370</v>
      </c>
      <c r="B371" s="5" t="s">
        <v>2144</v>
      </c>
      <c r="C371" s="5" t="s">
        <v>1181</v>
      </c>
      <c r="D371" s="5" t="n">
        <v>2</v>
      </c>
      <c r="E371" s="5" t="n">
        <v>0</v>
      </c>
      <c r="F371" s="5" t="n">
        <v>0</v>
      </c>
      <c r="G371" s="5" t="s">
        <v>2145</v>
      </c>
      <c r="H371" s="5" t="s">
        <v>1980</v>
      </c>
    </row>
    <row r="372" customFormat="false" ht="15" hidden="false" customHeight="false" outlineLevel="0" collapsed="false">
      <c r="A372" s="5" t="n">
        <v>371</v>
      </c>
      <c r="B372" s="5" t="s">
        <v>2146</v>
      </c>
      <c r="C372" s="5" t="s">
        <v>1181</v>
      </c>
      <c r="D372" s="5" t="n">
        <v>2</v>
      </c>
      <c r="E372" s="5" t="n">
        <v>0</v>
      </c>
      <c r="F372" s="5" t="n">
        <v>0</v>
      </c>
      <c r="G372" s="5" t="s">
        <v>2147</v>
      </c>
      <c r="H372" s="5" t="s">
        <v>2148</v>
      </c>
    </row>
    <row r="373" customFormat="false" ht="15" hidden="false" customHeight="false" outlineLevel="0" collapsed="false">
      <c r="A373" s="5" t="n">
        <v>372</v>
      </c>
      <c r="B373" s="5" t="s">
        <v>2149</v>
      </c>
      <c r="C373" s="5" t="s">
        <v>1181</v>
      </c>
      <c r="D373" s="5" t="n">
        <v>2</v>
      </c>
      <c r="E373" s="5" t="n">
        <v>0</v>
      </c>
      <c r="F373" s="5" t="n">
        <v>0</v>
      </c>
      <c r="G373" s="5" t="s">
        <v>2150</v>
      </c>
      <c r="H373" s="5" t="s">
        <v>2151</v>
      </c>
    </row>
    <row r="374" customFormat="false" ht="15" hidden="false" customHeight="false" outlineLevel="0" collapsed="false">
      <c r="A374" s="5" t="n">
        <v>373</v>
      </c>
      <c r="B374" s="5" t="s">
        <v>2152</v>
      </c>
      <c r="C374" s="5" t="s">
        <v>1181</v>
      </c>
      <c r="D374" s="5" t="n">
        <v>2</v>
      </c>
      <c r="E374" s="5" t="n">
        <v>0</v>
      </c>
      <c r="F374" s="5" t="n">
        <v>0</v>
      </c>
      <c r="G374" s="5" t="s">
        <v>2153</v>
      </c>
      <c r="H374" s="5" t="s">
        <v>1980</v>
      </c>
    </row>
    <row r="375" customFormat="false" ht="15" hidden="false" customHeight="false" outlineLevel="0" collapsed="false">
      <c r="A375" s="5" t="n">
        <v>374</v>
      </c>
      <c r="B375" s="5" t="s">
        <v>2154</v>
      </c>
      <c r="C375" s="5" t="s">
        <v>1181</v>
      </c>
      <c r="D375" s="5" t="n">
        <v>2</v>
      </c>
      <c r="E375" s="5" t="n">
        <v>0</v>
      </c>
      <c r="F375" s="5" t="n">
        <v>0</v>
      </c>
      <c r="G375" s="5" t="s">
        <v>2155</v>
      </c>
      <c r="H375" s="5" t="s">
        <v>1946</v>
      </c>
    </row>
    <row r="376" customFormat="false" ht="15" hidden="false" customHeight="false" outlineLevel="0" collapsed="false">
      <c r="A376" s="5" t="n">
        <v>375</v>
      </c>
      <c r="B376" s="5" t="s">
        <v>2156</v>
      </c>
      <c r="C376" s="5" t="s">
        <v>1181</v>
      </c>
      <c r="D376" s="5" t="n">
        <v>2</v>
      </c>
      <c r="E376" s="5" t="n">
        <v>0</v>
      </c>
      <c r="F376" s="5" t="n">
        <v>0</v>
      </c>
      <c r="G376" s="5" t="s">
        <v>2157</v>
      </c>
      <c r="H376" s="5" t="s">
        <v>2061</v>
      </c>
    </row>
    <row r="377" customFormat="false" ht="15" hidden="false" customHeight="false" outlineLevel="0" collapsed="false">
      <c r="A377" s="5" t="n">
        <v>376</v>
      </c>
      <c r="B377" s="5" t="s">
        <v>2158</v>
      </c>
      <c r="C377" s="5" t="s">
        <v>1181</v>
      </c>
      <c r="D377" s="5" t="n">
        <v>2</v>
      </c>
      <c r="E377" s="5" t="n">
        <v>0</v>
      </c>
      <c r="F377" s="5" t="n">
        <v>0</v>
      </c>
      <c r="G377" s="5" t="s">
        <v>2159</v>
      </c>
      <c r="H377" s="5" t="s">
        <v>2160</v>
      </c>
    </row>
    <row r="378" customFormat="false" ht="15" hidden="false" customHeight="false" outlineLevel="0" collapsed="false">
      <c r="A378" s="5" t="n">
        <v>377</v>
      </c>
      <c r="B378" s="5" t="s">
        <v>2161</v>
      </c>
      <c r="C378" s="5" t="s">
        <v>1181</v>
      </c>
      <c r="D378" s="5" t="n">
        <v>2</v>
      </c>
      <c r="E378" s="5" t="n">
        <v>0</v>
      </c>
      <c r="F378" s="5" t="n">
        <v>0</v>
      </c>
      <c r="G378" s="5" t="s">
        <v>2162</v>
      </c>
      <c r="H378" s="5" t="s">
        <v>1946</v>
      </c>
    </row>
    <row r="379" customFormat="false" ht="15" hidden="false" customHeight="false" outlineLevel="0" collapsed="false">
      <c r="A379" s="5" t="n">
        <v>378</v>
      </c>
      <c r="B379" s="5" t="s">
        <v>2163</v>
      </c>
      <c r="C379" s="5" t="s">
        <v>1181</v>
      </c>
      <c r="D379" s="5" t="n">
        <v>2</v>
      </c>
      <c r="E379" s="5" t="n">
        <v>0</v>
      </c>
      <c r="F379" s="5" t="n">
        <v>0</v>
      </c>
      <c r="G379" s="5" t="s">
        <v>2164</v>
      </c>
      <c r="H379" s="5" t="s">
        <v>2165</v>
      </c>
    </row>
    <row r="380" customFormat="false" ht="15" hidden="false" customHeight="false" outlineLevel="0" collapsed="false">
      <c r="A380" s="5" t="n">
        <v>379</v>
      </c>
      <c r="B380" s="5" t="s">
        <v>2166</v>
      </c>
      <c r="C380" s="5" t="s">
        <v>1181</v>
      </c>
      <c r="D380" s="5" t="n">
        <v>2</v>
      </c>
      <c r="E380" s="5" t="n">
        <v>0</v>
      </c>
      <c r="F380" s="5" t="n">
        <v>0</v>
      </c>
      <c r="G380" s="5" t="s">
        <v>2167</v>
      </c>
      <c r="H380" s="5" t="s">
        <v>1975</v>
      </c>
    </row>
    <row r="381" customFormat="false" ht="15" hidden="false" customHeight="false" outlineLevel="0" collapsed="false">
      <c r="A381" s="5" t="n">
        <v>380</v>
      </c>
      <c r="B381" s="5" t="s">
        <v>2168</v>
      </c>
      <c r="C381" s="5" t="s">
        <v>1181</v>
      </c>
      <c r="D381" s="5" t="n">
        <v>2</v>
      </c>
      <c r="E381" s="5" t="n">
        <v>0</v>
      </c>
      <c r="F381" s="5" t="n">
        <v>0</v>
      </c>
      <c r="G381" s="5" t="s">
        <v>2169</v>
      </c>
      <c r="H381" s="5" t="s">
        <v>2170</v>
      </c>
    </row>
    <row r="382" customFormat="false" ht="15" hidden="false" customHeight="false" outlineLevel="0" collapsed="false">
      <c r="A382" s="5" t="n">
        <v>381</v>
      </c>
      <c r="B382" s="5" t="s">
        <v>2171</v>
      </c>
      <c r="C382" s="5" t="s">
        <v>1181</v>
      </c>
      <c r="D382" s="5" t="n">
        <v>2</v>
      </c>
      <c r="E382" s="5" t="n">
        <v>0</v>
      </c>
      <c r="F382" s="5" t="n">
        <v>0</v>
      </c>
      <c r="G382" s="5" t="s">
        <v>2172</v>
      </c>
      <c r="H382" s="5" t="s">
        <v>2014</v>
      </c>
    </row>
    <row r="383" customFormat="false" ht="15" hidden="false" customHeight="false" outlineLevel="0" collapsed="false">
      <c r="A383" s="5" t="n">
        <v>382</v>
      </c>
      <c r="B383" s="5" t="s">
        <v>2173</v>
      </c>
      <c r="C383" s="5" t="s">
        <v>1181</v>
      </c>
      <c r="D383" s="5" t="n">
        <v>2</v>
      </c>
      <c r="E383" s="5" t="n">
        <v>0</v>
      </c>
      <c r="F383" s="5" t="n">
        <v>0</v>
      </c>
      <c r="G383" s="5" t="s">
        <v>2174</v>
      </c>
      <c r="H383" s="5" t="s">
        <v>1946</v>
      </c>
    </row>
    <row r="384" customFormat="false" ht="15" hidden="false" customHeight="false" outlineLevel="0" collapsed="false">
      <c r="A384" s="5" t="n">
        <v>383</v>
      </c>
      <c r="B384" s="5" t="s">
        <v>2175</v>
      </c>
      <c r="C384" s="5" t="s">
        <v>1176</v>
      </c>
      <c r="D384" s="5" t="n">
        <v>2</v>
      </c>
      <c r="E384" s="5" t="n">
        <v>0</v>
      </c>
      <c r="F384" s="5" t="n">
        <v>0</v>
      </c>
      <c r="G384" s="5" t="s">
        <v>2176</v>
      </c>
      <c r="H384" s="5" t="s">
        <v>2177</v>
      </c>
    </row>
    <row r="385" customFormat="false" ht="15" hidden="false" customHeight="false" outlineLevel="0" collapsed="false">
      <c r="A385" s="5" t="n">
        <v>384</v>
      </c>
      <c r="B385" s="5" t="s">
        <v>2178</v>
      </c>
      <c r="C385" s="5" t="s">
        <v>1181</v>
      </c>
      <c r="D385" s="5" t="n">
        <v>2</v>
      </c>
      <c r="E385" s="5" t="n">
        <v>0</v>
      </c>
      <c r="F385" s="5" t="n">
        <v>0</v>
      </c>
      <c r="G385" s="5" t="s">
        <v>2179</v>
      </c>
      <c r="H385" s="5" t="s">
        <v>2014</v>
      </c>
    </row>
    <row r="386" customFormat="false" ht="15" hidden="false" customHeight="false" outlineLevel="0" collapsed="false">
      <c r="A386" s="5" t="n">
        <v>385</v>
      </c>
      <c r="B386" s="5" t="s">
        <v>2180</v>
      </c>
      <c r="C386" s="5" t="s">
        <v>1181</v>
      </c>
      <c r="D386" s="5" t="n">
        <v>2</v>
      </c>
      <c r="E386" s="5" t="n">
        <v>0</v>
      </c>
      <c r="F386" s="5" t="n">
        <v>0</v>
      </c>
      <c r="G386" s="5" t="s">
        <v>2181</v>
      </c>
      <c r="H386" s="5" t="s">
        <v>2182</v>
      </c>
    </row>
    <row r="387" customFormat="false" ht="15" hidden="false" customHeight="false" outlineLevel="0" collapsed="false">
      <c r="A387" s="5" t="n">
        <v>386</v>
      </c>
      <c r="B387" s="5" t="s">
        <v>2183</v>
      </c>
      <c r="C387" s="5" t="s">
        <v>1176</v>
      </c>
      <c r="D387" s="5" t="n">
        <v>2</v>
      </c>
      <c r="E387" s="5" t="n">
        <v>0</v>
      </c>
      <c r="F387" s="5" t="n">
        <v>0</v>
      </c>
      <c r="G387" s="5" t="s">
        <v>2184</v>
      </c>
      <c r="H387" s="5" t="s">
        <v>2177</v>
      </c>
    </row>
    <row r="388" customFormat="false" ht="15" hidden="false" customHeight="false" outlineLevel="0" collapsed="false">
      <c r="A388" s="5" t="n">
        <v>387</v>
      </c>
      <c r="B388" s="5" t="s">
        <v>823</v>
      </c>
      <c r="C388" s="5" t="s">
        <v>1176</v>
      </c>
      <c r="D388" s="5" t="n">
        <v>2</v>
      </c>
      <c r="E388" s="5" t="n">
        <v>0</v>
      </c>
      <c r="F388" s="5" t="n">
        <v>0</v>
      </c>
      <c r="G388" s="5" t="s">
        <v>2185</v>
      </c>
      <c r="H388" s="5" t="s">
        <v>2088</v>
      </c>
    </row>
    <row r="389" customFormat="false" ht="15" hidden="false" customHeight="false" outlineLevel="0" collapsed="false">
      <c r="A389" s="5" t="n">
        <v>388</v>
      </c>
      <c r="B389" s="5" t="s">
        <v>2186</v>
      </c>
      <c r="C389" s="5" t="s">
        <v>1181</v>
      </c>
      <c r="D389" s="5" t="n">
        <v>2</v>
      </c>
      <c r="E389" s="5" t="n">
        <v>0</v>
      </c>
      <c r="F389" s="5" t="n">
        <v>0</v>
      </c>
      <c r="G389" s="5" t="s">
        <v>2187</v>
      </c>
      <c r="H389" s="5" t="s">
        <v>2188</v>
      </c>
    </row>
    <row r="390" customFormat="false" ht="15" hidden="false" customHeight="false" outlineLevel="0" collapsed="false">
      <c r="A390" s="5" t="n">
        <v>389</v>
      </c>
      <c r="B390" s="5" t="s">
        <v>2189</v>
      </c>
      <c r="C390" s="5" t="s">
        <v>1181</v>
      </c>
      <c r="D390" s="5" t="n">
        <v>2</v>
      </c>
      <c r="E390" s="5" t="n">
        <v>0</v>
      </c>
      <c r="F390" s="5" t="n">
        <v>0</v>
      </c>
      <c r="G390" s="5" t="s">
        <v>2190</v>
      </c>
      <c r="H390" s="5" t="s">
        <v>2191</v>
      </c>
    </row>
    <row r="391" customFormat="false" ht="15" hidden="false" customHeight="false" outlineLevel="0" collapsed="false">
      <c r="A391" s="5" t="n">
        <v>390</v>
      </c>
      <c r="B391" s="5" t="s">
        <v>2192</v>
      </c>
      <c r="C391" s="5" t="s">
        <v>1181</v>
      </c>
      <c r="D391" s="5" t="n">
        <v>2</v>
      </c>
      <c r="E391" s="5" t="n">
        <v>0</v>
      </c>
      <c r="F391" s="5" t="n">
        <v>0</v>
      </c>
      <c r="G391" s="5" t="s">
        <v>2193</v>
      </c>
      <c r="H391" s="5" t="s">
        <v>2194</v>
      </c>
    </row>
    <row r="392" customFormat="false" ht="15" hidden="false" customHeight="false" outlineLevel="0" collapsed="false">
      <c r="A392" s="5" t="n">
        <v>391</v>
      </c>
      <c r="B392" s="5" t="s">
        <v>2195</v>
      </c>
      <c r="C392" s="5" t="s">
        <v>1181</v>
      </c>
      <c r="D392" s="5" t="n">
        <v>2</v>
      </c>
      <c r="E392" s="5" t="n">
        <v>0</v>
      </c>
      <c r="F392" s="5" t="n">
        <v>0</v>
      </c>
      <c r="G392" s="5" t="s">
        <v>2196</v>
      </c>
      <c r="H392" s="5" t="s">
        <v>2197</v>
      </c>
    </row>
    <row r="393" customFormat="false" ht="15" hidden="false" customHeight="false" outlineLevel="0" collapsed="false">
      <c r="A393" s="5" t="n">
        <v>392</v>
      </c>
      <c r="B393" s="5" t="s">
        <v>2198</v>
      </c>
      <c r="C393" s="5" t="s">
        <v>1181</v>
      </c>
      <c r="D393" s="5" t="n">
        <v>2</v>
      </c>
      <c r="E393" s="5" t="n">
        <v>0</v>
      </c>
      <c r="F393" s="5" t="n">
        <v>0</v>
      </c>
      <c r="G393" s="5" t="s">
        <v>2199</v>
      </c>
      <c r="H393" s="5" t="s">
        <v>1975</v>
      </c>
    </row>
    <row r="394" customFormat="false" ht="15" hidden="false" customHeight="false" outlineLevel="0" collapsed="false">
      <c r="A394" s="5" t="n">
        <v>393</v>
      </c>
      <c r="B394" s="5" t="s">
        <v>2200</v>
      </c>
      <c r="C394" s="5" t="s">
        <v>1181</v>
      </c>
      <c r="D394" s="5" t="n">
        <v>2</v>
      </c>
      <c r="E394" s="5" t="n">
        <v>0</v>
      </c>
      <c r="F394" s="5" t="n">
        <v>0</v>
      </c>
      <c r="G394" s="5" t="s">
        <v>2201</v>
      </c>
      <c r="H394" s="5" t="s">
        <v>2202</v>
      </c>
    </row>
    <row r="395" customFormat="false" ht="15" hidden="false" customHeight="false" outlineLevel="0" collapsed="false">
      <c r="A395" s="5" t="n">
        <v>394</v>
      </c>
      <c r="B395" s="5" t="s">
        <v>267</v>
      </c>
      <c r="C395" s="5" t="s">
        <v>1181</v>
      </c>
      <c r="D395" s="5" t="n">
        <v>2</v>
      </c>
      <c r="E395" s="5" t="n">
        <v>0</v>
      </c>
      <c r="F395" s="5" t="n">
        <v>0</v>
      </c>
      <c r="G395" s="5" t="s">
        <v>2203</v>
      </c>
      <c r="H395" s="5" t="s">
        <v>2204</v>
      </c>
    </row>
    <row r="396" customFormat="false" ht="15" hidden="false" customHeight="false" outlineLevel="0" collapsed="false">
      <c r="A396" s="5" t="n">
        <v>395</v>
      </c>
      <c r="B396" s="5" t="s">
        <v>2205</v>
      </c>
      <c r="C396" s="5" t="s">
        <v>1181</v>
      </c>
      <c r="D396" s="5" t="n">
        <v>2</v>
      </c>
      <c r="E396" s="5" t="n">
        <v>0</v>
      </c>
      <c r="F396" s="5" t="n">
        <v>0</v>
      </c>
      <c r="G396" s="5" t="s">
        <v>2206</v>
      </c>
      <c r="H396" s="5" t="s">
        <v>2014</v>
      </c>
    </row>
    <row r="397" customFormat="false" ht="15" hidden="false" customHeight="false" outlineLevel="0" collapsed="false">
      <c r="A397" s="5" t="n">
        <v>396</v>
      </c>
      <c r="B397" s="5" t="s">
        <v>2207</v>
      </c>
      <c r="C397" s="5" t="s">
        <v>1181</v>
      </c>
      <c r="D397" s="5" t="n">
        <v>2</v>
      </c>
      <c r="E397" s="5" t="n">
        <v>0</v>
      </c>
      <c r="F397" s="5" t="n">
        <v>0</v>
      </c>
      <c r="G397" s="5" t="s">
        <v>2208</v>
      </c>
      <c r="H397" s="5" t="s">
        <v>2014</v>
      </c>
    </row>
    <row r="398" customFormat="false" ht="15" hidden="false" customHeight="false" outlineLevel="0" collapsed="false">
      <c r="A398" s="5" t="n">
        <v>397</v>
      </c>
      <c r="B398" s="5" t="s">
        <v>2209</v>
      </c>
      <c r="C398" s="5" t="s">
        <v>1181</v>
      </c>
      <c r="D398" s="5" t="n">
        <v>2</v>
      </c>
      <c r="E398" s="5" t="n">
        <v>0</v>
      </c>
      <c r="F398" s="5" t="n">
        <v>0</v>
      </c>
      <c r="G398" s="5" t="s">
        <v>2210</v>
      </c>
      <c r="H398" s="5" t="s">
        <v>2211</v>
      </c>
    </row>
    <row r="399" customFormat="false" ht="15" hidden="false" customHeight="false" outlineLevel="0" collapsed="false">
      <c r="A399" s="5" t="n">
        <v>398</v>
      </c>
      <c r="B399" s="5" t="s">
        <v>2212</v>
      </c>
      <c r="C399" s="5" t="s">
        <v>1181</v>
      </c>
      <c r="D399" s="5" t="n">
        <v>2</v>
      </c>
      <c r="E399" s="5" t="n">
        <v>0</v>
      </c>
      <c r="F399" s="5" t="n">
        <v>0</v>
      </c>
      <c r="G399" s="5" t="s">
        <v>2213</v>
      </c>
      <c r="H399" s="5" t="s">
        <v>2214</v>
      </c>
    </row>
    <row r="400" customFormat="false" ht="15" hidden="false" customHeight="false" outlineLevel="0" collapsed="false">
      <c r="A400" s="5" t="n">
        <v>399</v>
      </c>
      <c r="B400" s="5" t="s">
        <v>2215</v>
      </c>
      <c r="C400" s="5" t="s">
        <v>1181</v>
      </c>
      <c r="D400" s="5" t="n">
        <v>2</v>
      </c>
      <c r="E400" s="5" t="n">
        <v>0</v>
      </c>
      <c r="F400" s="5" t="n">
        <v>0</v>
      </c>
      <c r="G400" s="5" t="s">
        <v>2216</v>
      </c>
      <c r="H400" s="5" t="s">
        <v>1912</v>
      </c>
    </row>
    <row r="401" customFormat="false" ht="15" hidden="false" customHeight="false" outlineLevel="0" collapsed="false">
      <c r="A401" s="5" t="n">
        <v>400</v>
      </c>
      <c r="B401" s="5" t="s">
        <v>2217</v>
      </c>
      <c r="C401" s="5" t="s">
        <v>1181</v>
      </c>
      <c r="D401" s="5" t="n">
        <v>2</v>
      </c>
      <c r="E401" s="5" t="n">
        <v>0</v>
      </c>
      <c r="F401" s="5" t="n">
        <v>0</v>
      </c>
      <c r="G401" s="5" t="s">
        <v>2218</v>
      </c>
      <c r="H401" s="5" t="s">
        <v>1975</v>
      </c>
    </row>
    <row r="402" customFormat="false" ht="15" hidden="false" customHeight="false" outlineLevel="0" collapsed="false">
      <c r="A402" s="5" t="n">
        <v>401</v>
      </c>
      <c r="B402" s="5" t="s">
        <v>2219</v>
      </c>
      <c r="C402" s="5" t="s">
        <v>1181</v>
      </c>
      <c r="D402" s="5" t="n">
        <v>2</v>
      </c>
      <c r="E402" s="5" t="n">
        <v>0</v>
      </c>
      <c r="F402" s="5" t="n">
        <v>0</v>
      </c>
      <c r="G402" s="5" t="s">
        <v>2220</v>
      </c>
      <c r="H402" s="5" t="s">
        <v>2221</v>
      </c>
    </row>
    <row r="403" customFormat="false" ht="15" hidden="false" customHeight="false" outlineLevel="0" collapsed="false">
      <c r="A403" s="5" t="n">
        <v>402</v>
      </c>
      <c r="B403" s="5" t="s">
        <v>2222</v>
      </c>
      <c r="C403" s="5" t="s">
        <v>1181</v>
      </c>
      <c r="D403" s="5" t="n">
        <v>2</v>
      </c>
      <c r="E403" s="5" t="n">
        <v>0</v>
      </c>
      <c r="F403" s="5" t="n">
        <v>0</v>
      </c>
      <c r="G403" s="5" t="s">
        <v>2223</v>
      </c>
      <c r="H403" s="5" t="s">
        <v>2079</v>
      </c>
    </row>
    <row r="404" customFormat="false" ht="15" hidden="false" customHeight="false" outlineLevel="0" collapsed="false">
      <c r="A404" s="5" t="n">
        <v>403</v>
      </c>
      <c r="B404" s="5" t="s">
        <v>2224</v>
      </c>
      <c r="C404" s="5" t="s">
        <v>1176</v>
      </c>
      <c r="D404" s="5" t="n">
        <v>2</v>
      </c>
      <c r="E404" s="5" t="n">
        <v>0</v>
      </c>
      <c r="F404" s="5" t="n">
        <v>0</v>
      </c>
      <c r="G404" s="5" t="s">
        <v>2225</v>
      </c>
      <c r="H404" s="5" t="s">
        <v>2226</v>
      </c>
    </row>
    <row r="405" customFormat="false" ht="15" hidden="false" customHeight="false" outlineLevel="0" collapsed="false">
      <c r="A405" s="5" t="n">
        <v>404</v>
      </c>
      <c r="B405" s="5" t="s">
        <v>687</v>
      </c>
      <c r="C405" s="5" t="s">
        <v>1181</v>
      </c>
      <c r="D405" s="5" t="n">
        <v>2</v>
      </c>
      <c r="E405" s="5" t="n">
        <v>0</v>
      </c>
      <c r="F405" s="5" t="n">
        <v>0</v>
      </c>
      <c r="G405" s="5" t="s">
        <v>2227</v>
      </c>
      <c r="H405" s="5" t="s">
        <v>2024</v>
      </c>
    </row>
    <row r="406" customFormat="false" ht="15" hidden="false" customHeight="false" outlineLevel="0" collapsed="false">
      <c r="A406" s="5" t="n">
        <v>405</v>
      </c>
      <c r="B406" s="5" t="s">
        <v>2228</v>
      </c>
      <c r="C406" s="5" t="s">
        <v>1181</v>
      </c>
      <c r="D406" s="5" t="n">
        <v>2</v>
      </c>
      <c r="E406" s="5" t="n">
        <v>0</v>
      </c>
      <c r="F406" s="5" t="n">
        <v>0</v>
      </c>
      <c r="G406" s="5" t="s">
        <v>2229</v>
      </c>
      <c r="H406" s="5" t="s">
        <v>2230</v>
      </c>
    </row>
    <row r="407" customFormat="false" ht="15" hidden="false" customHeight="false" outlineLevel="0" collapsed="false">
      <c r="A407" s="5" t="n">
        <v>406</v>
      </c>
      <c r="B407" s="5" t="s">
        <v>2231</v>
      </c>
      <c r="C407" s="5" t="s">
        <v>1181</v>
      </c>
      <c r="D407" s="5" t="n">
        <v>2</v>
      </c>
      <c r="E407" s="5" t="n">
        <v>0</v>
      </c>
      <c r="F407" s="5" t="n">
        <v>0</v>
      </c>
      <c r="G407" s="5" t="s">
        <v>2232</v>
      </c>
      <c r="H407" s="5" t="s">
        <v>2014</v>
      </c>
    </row>
    <row r="408" customFormat="false" ht="15" hidden="false" customHeight="false" outlineLevel="0" collapsed="false">
      <c r="A408" s="5" t="n">
        <v>407</v>
      </c>
      <c r="B408" s="5" t="s">
        <v>2233</v>
      </c>
      <c r="C408" s="5" t="s">
        <v>1181</v>
      </c>
      <c r="D408" s="5" t="n">
        <v>2</v>
      </c>
      <c r="E408" s="5" t="n">
        <v>0</v>
      </c>
      <c r="F408" s="5" t="n">
        <v>0</v>
      </c>
      <c r="G408" s="5" t="s">
        <v>2234</v>
      </c>
      <c r="H408" s="5" t="s">
        <v>2235</v>
      </c>
    </row>
    <row r="409" customFormat="false" ht="15" hidden="false" customHeight="false" outlineLevel="0" collapsed="false">
      <c r="A409" s="5" t="n">
        <v>408</v>
      </c>
      <c r="B409" s="5" t="s">
        <v>2236</v>
      </c>
      <c r="C409" s="5" t="s">
        <v>1181</v>
      </c>
      <c r="D409" s="5" t="n">
        <v>2</v>
      </c>
      <c r="E409" s="5" t="n">
        <v>0</v>
      </c>
      <c r="F409" s="5" t="n">
        <v>0</v>
      </c>
      <c r="G409" s="5" t="s">
        <v>2237</v>
      </c>
      <c r="H409" s="5" t="s">
        <v>1970</v>
      </c>
    </row>
    <row r="410" customFormat="false" ht="15" hidden="false" customHeight="false" outlineLevel="0" collapsed="false">
      <c r="A410" s="5" t="n">
        <v>409</v>
      </c>
      <c r="B410" s="5" t="s">
        <v>2238</v>
      </c>
      <c r="C410" s="5" t="s">
        <v>1181</v>
      </c>
      <c r="D410" s="5" t="n">
        <v>2</v>
      </c>
      <c r="E410" s="5" t="n">
        <v>0</v>
      </c>
      <c r="F410" s="5" t="n">
        <v>0</v>
      </c>
      <c r="G410" s="5" t="s">
        <v>2239</v>
      </c>
      <c r="H410" s="5" t="s">
        <v>1975</v>
      </c>
    </row>
    <row r="411" customFormat="false" ht="15" hidden="false" customHeight="false" outlineLevel="0" collapsed="false">
      <c r="A411" s="5" t="n">
        <v>410</v>
      </c>
      <c r="B411" s="5" t="s">
        <v>2240</v>
      </c>
      <c r="C411" s="5" t="s">
        <v>1181</v>
      </c>
      <c r="D411" s="5" t="n">
        <v>2</v>
      </c>
      <c r="E411" s="5" t="n">
        <v>0</v>
      </c>
      <c r="F411" s="5" t="n">
        <v>0</v>
      </c>
      <c r="G411" s="5" t="s">
        <v>2241</v>
      </c>
      <c r="H411" s="5" t="s">
        <v>1967</v>
      </c>
    </row>
    <row r="412" customFormat="false" ht="15" hidden="false" customHeight="false" outlineLevel="0" collapsed="false">
      <c r="A412" s="5" t="n">
        <v>411</v>
      </c>
      <c r="B412" s="5" t="s">
        <v>2242</v>
      </c>
      <c r="C412" s="5" t="s">
        <v>1181</v>
      </c>
      <c r="D412" s="5" t="n">
        <v>2</v>
      </c>
      <c r="E412" s="5" t="n">
        <v>0</v>
      </c>
      <c r="F412" s="5" t="n">
        <v>0</v>
      </c>
      <c r="G412" s="5" t="s">
        <v>2243</v>
      </c>
      <c r="H412" s="5" t="s">
        <v>2244</v>
      </c>
    </row>
    <row r="413" customFormat="false" ht="15" hidden="false" customHeight="false" outlineLevel="0" collapsed="false">
      <c r="A413" s="5" t="n">
        <v>412</v>
      </c>
      <c r="B413" s="5" t="s">
        <v>2245</v>
      </c>
      <c r="C413" s="5" t="s">
        <v>1181</v>
      </c>
      <c r="D413" s="5" t="n">
        <v>2</v>
      </c>
      <c r="E413" s="5" t="n">
        <v>0</v>
      </c>
      <c r="F413" s="5" t="n">
        <v>0</v>
      </c>
      <c r="G413" s="5" t="s">
        <v>2246</v>
      </c>
      <c r="H413" s="5" t="s">
        <v>2021</v>
      </c>
    </row>
    <row r="414" customFormat="false" ht="15" hidden="false" customHeight="false" outlineLevel="0" collapsed="false">
      <c r="A414" s="5" t="n">
        <v>413</v>
      </c>
      <c r="B414" s="5" t="s">
        <v>2247</v>
      </c>
      <c r="C414" s="5" t="s">
        <v>1181</v>
      </c>
      <c r="D414" s="5" t="n">
        <v>2</v>
      </c>
      <c r="E414" s="5" t="n">
        <v>0</v>
      </c>
      <c r="F414" s="5" t="n">
        <v>0</v>
      </c>
      <c r="G414" s="5" t="s">
        <v>2248</v>
      </c>
      <c r="H414" s="5" t="s">
        <v>2249</v>
      </c>
    </row>
    <row r="415" customFormat="false" ht="15" hidden="false" customHeight="false" outlineLevel="0" collapsed="false">
      <c r="A415" s="5" t="n">
        <v>414</v>
      </c>
      <c r="B415" s="5" t="s">
        <v>2250</v>
      </c>
      <c r="C415" s="5" t="s">
        <v>1181</v>
      </c>
      <c r="D415" s="5" t="n">
        <v>2</v>
      </c>
      <c r="E415" s="5" t="n">
        <v>0</v>
      </c>
      <c r="F415" s="5" t="n">
        <v>0</v>
      </c>
      <c r="G415" s="5" t="s">
        <v>2251</v>
      </c>
      <c r="H415" s="5" t="s">
        <v>2202</v>
      </c>
    </row>
    <row r="416" customFormat="false" ht="15" hidden="false" customHeight="false" outlineLevel="0" collapsed="false">
      <c r="A416" s="5" t="n">
        <v>415</v>
      </c>
      <c r="B416" s="5" t="s">
        <v>2252</v>
      </c>
      <c r="C416" s="5" t="s">
        <v>1181</v>
      </c>
      <c r="D416" s="5" t="n">
        <v>2</v>
      </c>
      <c r="E416" s="5" t="n">
        <v>0</v>
      </c>
      <c r="F416" s="5" t="n">
        <v>0</v>
      </c>
      <c r="G416" s="5" t="s">
        <v>2253</v>
      </c>
      <c r="H416" s="5" t="s">
        <v>1975</v>
      </c>
    </row>
    <row r="417" customFormat="false" ht="15" hidden="false" customHeight="false" outlineLevel="0" collapsed="false">
      <c r="A417" s="5" t="n">
        <v>416</v>
      </c>
      <c r="B417" s="5" t="s">
        <v>2254</v>
      </c>
      <c r="C417" s="5" t="s">
        <v>1181</v>
      </c>
      <c r="D417" s="5" t="n">
        <v>2</v>
      </c>
      <c r="E417" s="5" t="n">
        <v>0</v>
      </c>
      <c r="F417" s="5" t="n">
        <v>0</v>
      </c>
      <c r="G417" s="5" t="s">
        <v>2255</v>
      </c>
      <c r="H417" s="5" t="s">
        <v>2256</v>
      </c>
    </row>
    <row r="418" customFormat="false" ht="15" hidden="false" customHeight="false" outlineLevel="0" collapsed="false">
      <c r="A418" s="5" t="n">
        <v>417</v>
      </c>
      <c r="B418" s="5" t="s">
        <v>2257</v>
      </c>
      <c r="C418" s="5" t="s">
        <v>1181</v>
      </c>
      <c r="D418" s="5" t="n">
        <v>2</v>
      </c>
      <c r="E418" s="5" t="n">
        <v>0</v>
      </c>
      <c r="F418" s="5" t="n">
        <v>0</v>
      </c>
      <c r="G418" s="5" t="s">
        <v>2258</v>
      </c>
      <c r="H418" s="5" t="s">
        <v>2021</v>
      </c>
    </row>
    <row r="419" customFormat="false" ht="15" hidden="false" customHeight="false" outlineLevel="0" collapsed="false">
      <c r="A419" s="5" t="n">
        <v>418</v>
      </c>
      <c r="B419" s="5" t="s">
        <v>2259</v>
      </c>
      <c r="C419" s="5" t="s">
        <v>1181</v>
      </c>
      <c r="D419" s="5" t="n">
        <v>2</v>
      </c>
      <c r="E419" s="5" t="n">
        <v>0</v>
      </c>
      <c r="F419" s="5" t="n">
        <v>0</v>
      </c>
      <c r="G419" s="5" t="s">
        <v>2260</v>
      </c>
      <c r="H419" s="5" t="s">
        <v>1964</v>
      </c>
    </row>
    <row r="420" customFormat="false" ht="15" hidden="false" customHeight="false" outlineLevel="0" collapsed="false">
      <c r="A420" s="5" t="n">
        <v>419</v>
      </c>
      <c r="B420" s="5" t="s">
        <v>748</v>
      </c>
      <c r="C420" s="5" t="s">
        <v>1181</v>
      </c>
      <c r="D420" s="5" t="n">
        <v>2</v>
      </c>
      <c r="E420" s="5" t="n">
        <v>0</v>
      </c>
      <c r="F420" s="5" t="n">
        <v>0</v>
      </c>
      <c r="G420" s="5" t="s">
        <v>2261</v>
      </c>
      <c r="H420" s="5" t="s">
        <v>2262</v>
      </c>
    </row>
    <row r="421" customFormat="false" ht="15" hidden="false" customHeight="false" outlineLevel="0" collapsed="false">
      <c r="A421" s="5" t="n">
        <v>420</v>
      </c>
      <c r="B421" s="5" t="s">
        <v>2263</v>
      </c>
      <c r="C421" s="5" t="s">
        <v>1181</v>
      </c>
      <c r="D421" s="5" t="n">
        <v>2</v>
      </c>
      <c r="E421" s="5" t="n">
        <v>0</v>
      </c>
      <c r="F421" s="5" t="n">
        <v>0</v>
      </c>
      <c r="G421" s="5" t="s">
        <v>2264</v>
      </c>
      <c r="H421" s="5" t="s">
        <v>2021</v>
      </c>
    </row>
    <row r="422" customFormat="false" ht="15" hidden="false" customHeight="false" outlineLevel="0" collapsed="false">
      <c r="A422" s="5" t="n">
        <v>421</v>
      </c>
      <c r="B422" s="5" t="s">
        <v>1070</v>
      </c>
      <c r="C422" s="5" t="s">
        <v>1181</v>
      </c>
      <c r="D422" s="5" t="n">
        <v>2</v>
      </c>
      <c r="E422" s="5" t="n">
        <v>0</v>
      </c>
      <c r="F422" s="5" t="n">
        <v>0</v>
      </c>
      <c r="G422" s="5" t="s">
        <v>2265</v>
      </c>
      <c r="H422" s="5" t="s">
        <v>2038</v>
      </c>
    </row>
    <row r="423" customFormat="false" ht="15" hidden="false" customHeight="false" outlineLevel="0" collapsed="false">
      <c r="A423" s="5" t="n">
        <v>422</v>
      </c>
      <c r="B423" s="5" t="s">
        <v>2266</v>
      </c>
      <c r="C423" s="5" t="s">
        <v>1181</v>
      </c>
      <c r="D423" s="5" t="n">
        <v>2</v>
      </c>
      <c r="E423" s="5" t="n">
        <v>0</v>
      </c>
      <c r="F423" s="5" t="n">
        <v>0</v>
      </c>
      <c r="G423" s="5" t="s">
        <v>2267</v>
      </c>
      <c r="H423" s="5" t="s">
        <v>2268</v>
      </c>
    </row>
    <row r="424" customFormat="false" ht="15" hidden="false" customHeight="false" outlineLevel="0" collapsed="false">
      <c r="A424" s="5" t="n">
        <v>423</v>
      </c>
      <c r="B424" s="5" t="s">
        <v>2269</v>
      </c>
      <c r="C424" s="5" t="s">
        <v>1181</v>
      </c>
      <c r="D424" s="5" t="n">
        <v>2</v>
      </c>
      <c r="E424" s="5" t="n">
        <v>0</v>
      </c>
      <c r="F424" s="5" t="n">
        <v>0</v>
      </c>
      <c r="G424" s="5" t="s">
        <v>2270</v>
      </c>
      <c r="H424" s="5" t="s">
        <v>2271</v>
      </c>
    </row>
    <row r="425" customFormat="false" ht="15" hidden="false" customHeight="false" outlineLevel="0" collapsed="false">
      <c r="A425" s="5" t="n">
        <v>424</v>
      </c>
      <c r="B425" s="5" t="s">
        <v>2272</v>
      </c>
      <c r="C425" s="5" t="s">
        <v>1176</v>
      </c>
      <c r="D425" s="5" t="n">
        <v>2</v>
      </c>
      <c r="E425" s="5" t="n">
        <v>0</v>
      </c>
      <c r="F425" s="5" t="n">
        <v>0</v>
      </c>
      <c r="G425" s="5" t="s">
        <v>2273</v>
      </c>
      <c r="H425" s="5" t="s">
        <v>2274</v>
      </c>
    </row>
    <row r="426" customFormat="false" ht="15" hidden="false" customHeight="false" outlineLevel="0" collapsed="false">
      <c r="A426" s="5" t="n">
        <v>425</v>
      </c>
      <c r="B426" s="5" t="s">
        <v>2275</v>
      </c>
      <c r="C426" s="5" t="s">
        <v>1181</v>
      </c>
      <c r="D426" s="5" t="n">
        <v>2</v>
      </c>
      <c r="E426" s="5" t="n">
        <v>0</v>
      </c>
      <c r="F426" s="5" t="n">
        <v>0</v>
      </c>
      <c r="G426" s="5" t="s">
        <v>2276</v>
      </c>
      <c r="H426" s="5" t="s">
        <v>2277</v>
      </c>
    </row>
    <row r="427" customFormat="false" ht="15" hidden="false" customHeight="false" outlineLevel="0" collapsed="false">
      <c r="A427" s="5" t="n">
        <v>426</v>
      </c>
      <c r="B427" s="5" t="s">
        <v>2278</v>
      </c>
      <c r="C427" s="5" t="s">
        <v>1181</v>
      </c>
      <c r="D427" s="5" t="n">
        <v>2</v>
      </c>
      <c r="E427" s="5" t="n">
        <v>0</v>
      </c>
      <c r="F427" s="5" t="n">
        <v>0</v>
      </c>
      <c r="G427" s="5" t="s">
        <v>2279</v>
      </c>
      <c r="H427" s="5" t="s">
        <v>1946</v>
      </c>
    </row>
    <row r="428" customFormat="false" ht="15" hidden="false" customHeight="false" outlineLevel="0" collapsed="false">
      <c r="A428" s="5" t="n">
        <v>427</v>
      </c>
      <c r="B428" s="5" t="s">
        <v>2280</v>
      </c>
      <c r="C428" s="5" t="s">
        <v>1181</v>
      </c>
      <c r="D428" s="5" t="n">
        <v>2</v>
      </c>
      <c r="E428" s="5" t="n">
        <v>0</v>
      </c>
      <c r="F428" s="5" t="n">
        <v>0</v>
      </c>
      <c r="G428" s="5" t="s">
        <v>2281</v>
      </c>
      <c r="H428" s="5" t="s">
        <v>2282</v>
      </c>
    </row>
    <row r="429" customFormat="false" ht="15" hidden="false" customHeight="false" outlineLevel="0" collapsed="false">
      <c r="A429" s="5" t="n">
        <v>428</v>
      </c>
      <c r="B429" s="5" t="s">
        <v>2283</v>
      </c>
      <c r="C429" s="5" t="s">
        <v>1181</v>
      </c>
      <c r="D429" s="5" t="n">
        <v>2</v>
      </c>
      <c r="E429" s="5" t="n">
        <v>0</v>
      </c>
      <c r="F429" s="5" t="n">
        <v>0</v>
      </c>
      <c r="G429" s="5" t="s">
        <v>2284</v>
      </c>
      <c r="H429" s="5" t="s">
        <v>2285</v>
      </c>
    </row>
    <row r="430" customFormat="false" ht="15" hidden="false" customHeight="false" outlineLevel="0" collapsed="false">
      <c r="A430" s="5" t="n">
        <v>429</v>
      </c>
      <c r="B430" s="5" t="s">
        <v>2286</v>
      </c>
      <c r="C430" s="5" t="s">
        <v>1181</v>
      </c>
      <c r="D430" s="5" t="n">
        <v>2</v>
      </c>
      <c r="E430" s="5" t="n">
        <v>0</v>
      </c>
      <c r="F430" s="5" t="n">
        <v>0</v>
      </c>
      <c r="G430" s="5" t="s">
        <v>2287</v>
      </c>
      <c r="H430" s="5" t="s">
        <v>2285</v>
      </c>
    </row>
    <row r="431" customFormat="false" ht="15" hidden="false" customHeight="false" outlineLevel="0" collapsed="false">
      <c r="A431" s="5" t="n">
        <v>430</v>
      </c>
      <c r="B431" s="5" t="s">
        <v>563</v>
      </c>
      <c r="C431" s="5" t="s">
        <v>1181</v>
      </c>
      <c r="D431" s="5" t="n">
        <v>2</v>
      </c>
      <c r="E431" s="5" t="n">
        <v>0</v>
      </c>
      <c r="F431" s="5" t="n">
        <v>0</v>
      </c>
      <c r="G431" s="5" t="s">
        <v>2288</v>
      </c>
      <c r="H431" s="5" t="s">
        <v>2289</v>
      </c>
    </row>
    <row r="432" customFormat="false" ht="15" hidden="false" customHeight="false" outlineLevel="0" collapsed="false">
      <c r="A432" s="5" t="n">
        <v>431</v>
      </c>
      <c r="B432" s="5" t="s">
        <v>2290</v>
      </c>
      <c r="C432" s="5" t="s">
        <v>1181</v>
      </c>
      <c r="D432" s="5" t="n">
        <v>2</v>
      </c>
      <c r="E432" s="5" t="n">
        <v>0</v>
      </c>
      <c r="F432" s="5" t="n">
        <v>0</v>
      </c>
      <c r="G432" s="5" t="s">
        <v>2291</v>
      </c>
      <c r="H432" s="5" t="s">
        <v>2292</v>
      </c>
    </row>
    <row r="433" customFormat="false" ht="15" hidden="false" customHeight="false" outlineLevel="0" collapsed="false">
      <c r="A433" s="5" t="n">
        <v>432</v>
      </c>
      <c r="B433" s="5" t="s">
        <v>2293</v>
      </c>
      <c r="C433" s="5" t="s">
        <v>1181</v>
      </c>
      <c r="D433" s="5" t="n">
        <v>2</v>
      </c>
      <c r="E433" s="5" t="n">
        <v>0</v>
      </c>
      <c r="F433" s="5" t="n">
        <v>0</v>
      </c>
      <c r="G433" s="5" t="s">
        <v>2294</v>
      </c>
      <c r="H433" s="5" t="s">
        <v>2295</v>
      </c>
    </row>
    <row r="434" customFormat="false" ht="15" hidden="false" customHeight="false" outlineLevel="0" collapsed="false">
      <c r="A434" s="5" t="n">
        <v>433</v>
      </c>
      <c r="B434" s="5" t="s">
        <v>2296</v>
      </c>
      <c r="C434" s="5" t="s">
        <v>1181</v>
      </c>
      <c r="D434" s="5" t="n">
        <v>2</v>
      </c>
      <c r="E434" s="5" t="n">
        <v>0</v>
      </c>
      <c r="F434" s="5" t="n">
        <v>0</v>
      </c>
      <c r="G434" s="5" t="s">
        <v>2297</v>
      </c>
      <c r="H434" s="5" t="s">
        <v>1961</v>
      </c>
    </row>
    <row r="435" customFormat="false" ht="15" hidden="false" customHeight="false" outlineLevel="0" collapsed="false">
      <c r="A435" s="5" t="n">
        <v>434</v>
      </c>
      <c r="B435" s="5" t="s">
        <v>2298</v>
      </c>
      <c r="C435" s="5" t="s">
        <v>1181</v>
      </c>
      <c r="D435" s="5" t="n">
        <v>2</v>
      </c>
      <c r="E435" s="5" t="n">
        <v>0</v>
      </c>
      <c r="F435" s="5" t="n">
        <v>0</v>
      </c>
      <c r="G435" s="5" t="s">
        <v>2299</v>
      </c>
      <c r="H435" s="5" t="s">
        <v>2300</v>
      </c>
    </row>
    <row r="436" customFormat="false" ht="15" hidden="false" customHeight="false" outlineLevel="0" collapsed="false">
      <c r="A436" s="5" t="n">
        <v>435</v>
      </c>
      <c r="B436" s="5" t="s">
        <v>2301</v>
      </c>
      <c r="C436" s="5" t="s">
        <v>1181</v>
      </c>
      <c r="D436" s="5" t="n">
        <v>2</v>
      </c>
      <c r="E436" s="5" t="n">
        <v>0</v>
      </c>
      <c r="F436" s="5" t="n">
        <v>0</v>
      </c>
      <c r="G436" s="5" t="s">
        <v>2302</v>
      </c>
      <c r="H436" s="5" t="s">
        <v>2214</v>
      </c>
    </row>
    <row r="437" customFormat="false" ht="15" hidden="false" customHeight="false" outlineLevel="0" collapsed="false">
      <c r="A437" s="5" t="n">
        <v>436</v>
      </c>
      <c r="B437" s="5" t="s">
        <v>2303</v>
      </c>
      <c r="C437" s="5" t="s">
        <v>1181</v>
      </c>
      <c r="D437" s="5" t="n">
        <v>2</v>
      </c>
      <c r="E437" s="5" t="n">
        <v>0</v>
      </c>
      <c r="F437" s="5" t="n">
        <v>0</v>
      </c>
      <c r="G437" s="5" t="s">
        <v>2304</v>
      </c>
      <c r="H437" s="5" t="s">
        <v>2305</v>
      </c>
    </row>
    <row r="438" customFormat="false" ht="15" hidden="false" customHeight="false" outlineLevel="0" collapsed="false">
      <c r="A438" s="5" t="n">
        <v>437</v>
      </c>
      <c r="B438" s="5" t="s">
        <v>2306</v>
      </c>
      <c r="C438" s="5" t="s">
        <v>1176</v>
      </c>
      <c r="D438" s="5" t="n">
        <v>2</v>
      </c>
      <c r="E438" s="5" t="n">
        <v>0</v>
      </c>
      <c r="F438" s="5" t="n">
        <v>0</v>
      </c>
      <c r="G438" s="5" t="s">
        <v>2307</v>
      </c>
      <c r="H438" s="5" t="s">
        <v>2177</v>
      </c>
    </row>
    <row r="439" customFormat="false" ht="15" hidden="false" customHeight="false" outlineLevel="0" collapsed="false">
      <c r="A439" s="5" t="n">
        <v>438</v>
      </c>
      <c r="B439" s="5" t="s">
        <v>743</v>
      </c>
      <c r="C439" s="5" t="s">
        <v>1181</v>
      </c>
      <c r="D439" s="5" t="n">
        <v>2</v>
      </c>
      <c r="E439" s="5" t="n">
        <v>0</v>
      </c>
      <c r="F439" s="5" t="n">
        <v>0</v>
      </c>
      <c r="G439" s="5" t="s">
        <v>2308</v>
      </c>
      <c r="H439" s="5" t="s">
        <v>2099</v>
      </c>
    </row>
    <row r="440" customFormat="false" ht="15" hidden="false" customHeight="false" outlineLevel="0" collapsed="false">
      <c r="A440" s="5" t="n">
        <v>439</v>
      </c>
      <c r="B440" s="5" t="s">
        <v>2309</v>
      </c>
      <c r="C440" s="5" t="s">
        <v>1181</v>
      </c>
      <c r="D440" s="5" t="n">
        <v>2</v>
      </c>
      <c r="E440" s="5" t="n">
        <v>0</v>
      </c>
      <c r="F440" s="5" t="n">
        <v>0</v>
      </c>
      <c r="G440" s="5" t="s">
        <v>2310</v>
      </c>
      <c r="H440" s="5" t="s">
        <v>2311</v>
      </c>
    </row>
    <row r="441" customFormat="false" ht="15" hidden="false" customHeight="false" outlineLevel="0" collapsed="false">
      <c r="A441" s="5" t="n">
        <v>440</v>
      </c>
      <c r="B441" s="5" t="s">
        <v>2312</v>
      </c>
      <c r="C441" s="5" t="s">
        <v>1181</v>
      </c>
      <c r="D441" s="5" t="n">
        <v>2</v>
      </c>
      <c r="E441" s="5" t="n">
        <v>0</v>
      </c>
      <c r="F441" s="5" t="n">
        <v>0</v>
      </c>
      <c r="G441" s="5" t="s">
        <v>2313</v>
      </c>
      <c r="H441" s="5" t="s">
        <v>1946</v>
      </c>
    </row>
    <row r="442" customFormat="false" ht="15" hidden="false" customHeight="false" outlineLevel="0" collapsed="false">
      <c r="A442" s="5" t="n">
        <v>441</v>
      </c>
      <c r="B442" s="5" t="s">
        <v>2314</v>
      </c>
      <c r="C442" s="5" t="s">
        <v>1181</v>
      </c>
      <c r="D442" s="5" t="n">
        <v>2</v>
      </c>
      <c r="E442" s="5" t="n">
        <v>0</v>
      </c>
      <c r="F442" s="5" t="n">
        <v>0</v>
      </c>
      <c r="G442" s="5" t="s">
        <v>2315</v>
      </c>
      <c r="H442" s="5" t="s">
        <v>2316</v>
      </c>
    </row>
    <row r="443" customFormat="false" ht="15" hidden="false" customHeight="false" outlineLevel="0" collapsed="false">
      <c r="A443" s="5" t="n">
        <v>442</v>
      </c>
      <c r="B443" s="5" t="s">
        <v>2317</v>
      </c>
      <c r="C443" s="5" t="s">
        <v>1181</v>
      </c>
      <c r="D443" s="5" t="n">
        <v>2</v>
      </c>
      <c r="E443" s="5" t="n">
        <v>0</v>
      </c>
      <c r="F443" s="5" t="n">
        <v>0</v>
      </c>
      <c r="G443" s="5" t="s">
        <v>2318</v>
      </c>
      <c r="H443" s="5" t="s">
        <v>2319</v>
      </c>
    </row>
    <row r="444" customFormat="false" ht="15" hidden="false" customHeight="false" outlineLevel="0" collapsed="false">
      <c r="A444" s="5" t="n">
        <v>443</v>
      </c>
      <c r="B444" s="5" t="s">
        <v>664</v>
      </c>
      <c r="C444" s="5" t="s">
        <v>1181</v>
      </c>
      <c r="D444" s="5" t="n">
        <v>2</v>
      </c>
      <c r="E444" s="5" t="n">
        <v>0</v>
      </c>
      <c r="F444" s="5" t="n">
        <v>0</v>
      </c>
      <c r="G444" s="5" t="s">
        <v>2320</v>
      </c>
      <c r="H444" s="5" t="s">
        <v>2321</v>
      </c>
    </row>
    <row r="445" customFormat="false" ht="15" hidden="false" customHeight="false" outlineLevel="0" collapsed="false">
      <c r="A445" s="5" t="n">
        <v>444</v>
      </c>
      <c r="B445" s="5" t="s">
        <v>1136</v>
      </c>
      <c r="C445" s="5" t="s">
        <v>1181</v>
      </c>
      <c r="D445" s="5" t="n">
        <v>2</v>
      </c>
      <c r="E445" s="5" t="n">
        <v>0</v>
      </c>
      <c r="F445" s="5" t="n">
        <v>0</v>
      </c>
      <c r="G445" s="5" t="s">
        <v>2322</v>
      </c>
      <c r="H445" s="5" t="s">
        <v>1909</v>
      </c>
    </row>
    <row r="446" customFormat="false" ht="15" hidden="false" customHeight="false" outlineLevel="0" collapsed="false">
      <c r="A446" s="5" t="n">
        <v>445</v>
      </c>
      <c r="B446" s="5" t="s">
        <v>2323</v>
      </c>
      <c r="C446" s="5" t="s">
        <v>1181</v>
      </c>
      <c r="D446" s="5" t="n">
        <v>2</v>
      </c>
      <c r="E446" s="5" t="n">
        <v>0</v>
      </c>
      <c r="F446" s="5" t="n">
        <v>0</v>
      </c>
      <c r="G446" s="5" t="s">
        <v>2324</v>
      </c>
      <c r="H446" s="5" t="s">
        <v>2014</v>
      </c>
    </row>
    <row r="447" customFormat="false" ht="15" hidden="false" customHeight="false" outlineLevel="0" collapsed="false">
      <c r="A447" s="5" t="n">
        <v>446</v>
      </c>
      <c r="B447" s="5" t="s">
        <v>2325</v>
      </c>
      <c r="C447" s="5" t="s">
        <v>1181</v>
      </c>
      <c r="D447" s="5" t="n">
        <v>2</v>
      </c>
      <c r="E447" s="5" t="n">
        <v>0</v>
      </c>
      <c r="F447" s="5" t="n">
        <v>0</v>
      </c>
      <c r="G447" s="5" t="s">
        <v>2326</v>
      </c>
      <c r="H447" s="5" t="s">
        <v>2024</v>
      </c>
    </row>
    <row r="448" customFormat="false" ht="15" hidden="false" customHeight="false" outlineLevel="0" collapsed="false">
      <c r="A448" s="5" t="n">
        <v>447</v>
      </c>
      <c r="B448" s="5" t="s">
        <v>2327</v>
      </c>
      <c r="C448" s="5" t="s">
        <v>1181</v>
      </c>
      <c r="D448" s="5" t="n">
        <v>1</v>
      </c>
      <c r="E448" s="5" t="n">
        <v>0</v>
      </c>
      <c r="F448" s="5" t="n">
        <v>0</v>
      </c>
      <c r="G448" s="5" t="s">
        <v>2328</v>
      </c>
      <c r="H448" s="5" t="s">
        <v>535</v>
      </c>
    </row>
    <row r="449" customFormat="false" ht="15" hidden="false" customHeight="false" outlineLevel="0" collapsed="false">
      <c r="A449" s="5" t="n">
        <v>448</v>
      </c>
      <c r="B449" s="5" t="s">
        <v>2329</v>
      </c>
      <c r="C449" s="5" t="s">
        <v>1181</v>
      </c>
      <c r="D449" s="5" t="n">
        <v>1</v>
      </c>
      <c r="E449" s="5" t="n">
        <v>0</v>
      </c>
      <c r="F449" s="5" t="n">
        <v>0</v>
      </c>
      <c r="G449" s="5" t="s">
        <v>2330</v>
      </c>
      <c r="H449" s="5" t="s">
        <v>1114</v>
      </c>
    </row>
    <row r="450" customFormat="false" ht="15" hidden="false" customHeight="false" outlineLevel="0" collapsed="false">
      <c r="A450" s="5" t="n">
        <v>449</v>
      </c>
      <c r="B450" s="5" t="s">
        <v>2331</v>
      </c>
      <c r="C450" s="5" t="s">
        <v>1181</v>
      </c>
      <c r="D450" s="5" t="n">
        <v>1</v>
      </c>
      <c r="E450" s="5" t="n">
        <v>0</v>
      </c>
      <c r="F450" s="5" t="n">
        <v>0</v>
      </c>
      <c r="G450" s="5" t="s">
        <v>2332</v>
      </c>
      <c r="H450" s="5" t="s">
        <v>1105</v>
      </c>
    </row>
    <row r="451" customFormat="false" ht="15" hidden="false" customHeight="false" outlineLevel="0" collapsed="false">
      <c r="A451" s="5" t="n">
        <v>450</v>
      </c>
      <c r="B451" s="5" t="s">
        <v>2333</v>
      </c>
      <c r="C451" s="5" t="s">
        <v>1181</v>
      </c>
      <c r="D451" s="5" t="n">
        <v>1</v>
      </c>
      <c r="E451" s="5" t="n">
        <v>0</v>
      </c>
      <c r="F451" s="5" t="n">
        <v>0</v>
      </c>
      <c r="G451" s="5" t="s">
        <v>2334</v>
      </c>
      <c r="H451" s="5" t="s">
        <v>769</v>
      </c>
    </row>
    <row r="452" customFormat="false" ht="15" hidden="false" customHeight="false" outlineLevel="0" collapsed="false">
      <c r="A452" s="5" t="n">
        <v>451</v>
      </c>
      <c r="B452" s="5" t="s">
        <v>2335</v>
      </c>
      <c r="C452" s="5" t="s">
        <v>1181</v>
      </c>
      <c r="D452" s="5" t="n">
        <v>1</v>
      </c>
      <c r="E452" s="5" t="n">
        <v>0</v>
      </c>
      <c r="F452" s="5" t="n">
        <v>0</v>
      </c>
      <c r="G452" s="5" t="s">
        <v>2336</v>
      </c>
      <c r="H452" s="5" t="s">
        <v>163</v>
      </c>
    </row>
    <row r="453" customFormat="false" ht="15" hidden="false" customHeight="false" outlineLevel="0" collapsed="false">
      <c r="A453" s="5" t="n">
        <v>452</v>
      </c>
      <c r="B453" s="5" t="s">
        <v>2337</v>
      </c>
      <c r="C453" s="5" t="s">
        <v>1181</v>
      </c>
      <c r="D453" s="5" t="n">
        <v>1</v>
      </c>
      <c r="E453" s="5" t="n">
        <v>0</v>
      </c>
      <c r="F453" s="5" t="n">
        <v>0</v>
      </c>
      <c r="G453" s="5" t="s">
        <v>2338</v>
      </c>
      <c r="H453" s="5" t="s">
        <v>535</v>
      </c>
    </row>
    <row r="454" customFormat="false" ht="15" hidden="false" customHeight="false" outlineLevel="0" collapsed="false">
      <c r="A454" s="5" t="n">
        <v>453</v>
      </c>
      <c r="B454" s="5" t="s">
        <v>2339</v>
      </c>
      <c r="C454" s="5" t="s">
        <v>1181</v>
      </c>
      <c r="D454" s="5" t="n">
        <v>1</v>
      </c>
      <c r="E454" s="5" t="n">
        <v>0</v>
      </c>
      <c r="F454" s="5" t="n">
        <v>0</v>
      </c>
      <c r="G454" s="5" t="s">
        <v>2340</v>
      </c>
      <c r="H454" s="5" t="s">
        <v>742</v>
      </c>
    </row>
    <row r="455" customFormat="false" ht="15" hidden="false" customHeight="false" outlineLevel="0" collapsed="false">
      <c r="A455" s="5" t="n">
        <v>454</v>
      </c>
      <c r="B455" s="5" t="s">
        <v>2341</v>
      </c>
      <c r="C455" s="5" t="s">
        <v>1176</v>
      </c>
      <c r="D455" s="5" t="n">
        <v>1</v>
      </c>
      <c r="E455" s="5" t="n">
        <v>0</v>
      </c>
      <c r="F455" s="5" t="n">
        <v>0</v>
      </c>
      <c r="G455" s="5" t="s">
        <v>2342</v>
      </c>
      <c r="H455" s="5" t="s">
        <v>428</v>
      </c>
    </row>
    <row r="456" customFormat="false" ht="15" hidden="false" customHeight="false" outlineLevel="0" collapsed="false">
      <c r="A456" s="5" t="n">
        <v>455</v>
      </c>
      <c r="B456" s="5" t="s">
        <v>2343</v>
      </c>
      <c r="C456" s="5" t="s">
        <v>1181</v>
      </c>
      <c r="D456" s="5" t="n">
        <v>1</v>
      </c>
      <c r="E456" s="5" t="n">
        <v>0</v>
      </c>
      <c r="F456" s="5" t="n">
        <v>0</v>
      </c>
      <c r="G456" s="5" t="s">
        <v>2344</v>
      </c>
      <c r="H456" s="5" t="s">
        <v>94</v>
      </c>
    </row>
    <row r="457" customFormat="false" ht="15" hidden="false" customHeight="false" outlineLevel="0" collapsed="false">
      <c r="A457" s="5" t="n">
        <v>456</v>
      </c>
      <c r="B457" s="5" t="s">
        <v>2345</v>
      </c>
      <c r="C457" s="5" t="s">
        <v>1181</v>
      </c>
      <c r="D457" s="5" t="n">
        <v>1</v>
      </c>
      <c r="E457" s="5" t="n">
        <v>0</v>
      </c>
      <c r="F457" s="5" t="n">
        <v>0</v>
      </c>
      <c r="G457" s="5" t="s">
        <v>2346</v>
      </c>
      <c r="H457" s="5" t="s">
        <v>825</v>
      </c>
    </row>
    <row r="458" customFormat="false" ht="15" hidden="false" customHeight="false" outlineLevel="0" collapsed="false">
      <c r="A458" s="5" t="n">
        <v>457</v>
      </c>
      <c r="B458" s="5" t="s">
        <v>2347</v>
      </c>
      <c r="C458" s="5" t="s">
        <v>1181</v>
      </c>
      <c r="D458" s="5" t="n">
        <v>1</v>
      </c>
      <c r="E458" s="5" t="n">
        <v>0</v>
      </c>
      <c r="F458" s="5" t="n">
        <v>0</v>
      </c>
      <c r="G458" s="5" t="s">
        <v>2348</v>
      </c>
      <c r="H458" s="5" t="s">
        <v>367</v>
      </c>
    </row>
    <row r="459" customFormat="false" ht="15" hidden="false" customHeight="false" outlineLevel="0" collapsed="false">
      <c r="A459" s="5" t="n">
        <v>458</v>
      </c>
      <c r="B459" s="5" t="s">
        <v>2349</v>
      </c>
      <c r="C459" s="5" t="s">
        <v>1181</v>
      </c>
      <c r="D459" s="5" t="n">
        <v>1</v>
      </c>
      <c r="E459" s="5" t="n">
        <v>0</v>
      </c>
      <c r="F459" s="5" t="n">
        <v>0</v>
      </c>
      <c r="G459" s="5" t="s">
        <v>2350</v>
      </c>
      <c r="H459" s="5" t="s">
        <v>630</v>
      </c>
    </row>
    <row r="460" customFormat="false" ht="15" hidden="false" customHeight="false" outlineLevel="0" collapsed="false">
      <c r="A460" s="5" t="n">
        <v>459</v>
      </c>
      <c r="B460" s="5" t="s">
        <v>2351</v>
      </c>
      <c r="C460" s="5" t="s">
        <v>1176</v>
      </c>
      <c r="D460" s="5" t="n">
        <v>1</v>
      </c>
      <c r="E460" s="5" t="n">
        <v>0</v>
      </c>
      <c r="F460" s="5" t="n">
        <v>0</v>
      </c>
      <c r="G460" s="5" t="s">
        <v>2352</v>
      </c>
      <c r="H460" s="5" t="s">
        <v>706</v>
      </c>
    </row>
    <row r="461" customFormat="false" ht="15" hidden="false" customHeight="false" outlineLevel="0" collapsed="false">
      <c r="A461" s="5" t="n">
        <v>460</v>
      </c>
      <c r="B461" s="5" t="s">
        <v>2353</v>
      </c>
      <c r="C461" s="5" t="s">
        <v>1181</v>
      </c>
      <c r="D461" s="5" t="n">
        <v>1</v>
      </c>
      <c r="E461" s="5" t="n">
        <v>0</v>
      </c>
      <c r="F461" s="5" t="n">
        <v>0</v>
      </c>
      <c r="G461" s="5" t="s">
        <v>2354</v>
      </c>
      <c r="H461" s="5" t="s">
        <v>993</v>
      </c>
    </row>
    <row r="462" customFormat="false" ht="15" hidden="false" customHeight="false" outlineLevel="0" collapsed="false">
      <c r="A462" s="5" t="n">
        <v>461</v>
      </c>
      <c r="B462" s="5" t="s">
        <v>2355</v>
      </c>
      <c r="C462" s="5" t="s">
        <v>1181</v>
      </c>
      <c r="D462" s="5" t="n">
        <v>1</v>
      </c>
      <c r="E462" s="5" t="n">
        <v>0</v>
      </c>
      <c r="F462" s="5" t="n">
        <v>0</v>
      </c>
      <c r="G462" s="5" t="s">
        <v>2356</v>
      </c>
      <c r="H462" s="5" t="s">
        <v>652</v>
      </c>
    </row>
    <row r="463" customFormat="false" ht="15" hidden="false" customHeight="false" outlineLevel="0" collapsed="false">
      <c r="A463" s="5" t="n">
        <v>462</v>
      </c>
      <c r="B463" s="5" t="s">
        <v>2357</v>
      </c>
      <c r="C463" s="5" t="s">
        <v>1181</v>
      </c>
      <c r="D463" s="5" t="n">
        <v>1</v>
      </c>
      <c r="E463" s="5" t="n">
        <v>0</v>
      </c>
      <c r="F463" s="5" t="n">
        <v>0</v>
      </c>
      <c r="G463" s="5" t="s">
        <v>2358</v>
      </c>
      <c r="H463" s="5" t="s">
        <v>353</v>
      </c>
    </row>
    <row r="464" customFormat="false" ht="15" hidden="false" customHeight="false" outlineLevel="0" collapsed="false">
      <c r="A464" s="5" t="n">
        <v>463</v>
      </c>
      <c r="B464" s="5" t="s">
        <v>2359</v>
      </c>
      <c r="C464" s="5" t="s">
        <v>1181</v>
      </c>
      <c r="D464" s="5" t="n">
        <v>1</v>
      </c>
      <c r="E464" s="5" t="n">
        <v>0</v>
      </c>
      <c r="F464" s="5" t="n">
        <v>0</v>
      </c>
      <c r="G464" s="5" t="s">
        <v>2360</v>
      </c>
      <c r="H464" s="5" t="s">
        <v>680</v>
      </c>
    </row>
    <row r="465" customFormat="false" ht="15" hidden="false" customHeight="false" outlineLevel="0" collapsed="false">
      <c r="A465" s="5" t="n">
        <v>464</v>
      </c>
      <c r="B465" s="5" t="s">
        <v>1014</v>
      </c>
      <c r="C465" s="5" t="s">
        <v>1181</v>
      </c>
      <c r="D465" s="5" t="n">
        <v>1</v>
      </c>
      <c r="E465" s="5" t="n">
        <v>0</v>
      </c>
      <c r="F465" s="5" t="n">
        <v>0</v>
      </c>
      <c r="G465" s="5" t="s">
        <v>2361</v>
      </c>
      <c r="H465" s="5" t="s">
        <v>1013</v>
      </c>
    </row>
    <row r="466" customFormat="false" ht="15" hidden="false" customHeight="false" outlineLevel="0" collapsed="false">
      <c r="A466" s="5" t="n">
        <v>465</v>
      </c>
      <c r="B466" s="5" t="s">
        <v>230</v>
      </c>
      <c r="C466" s="5" t="s">
        <v>1181</v>
      </c>
      <c r="D466" s="5" t="n">
        <v>1</v>
      </c>
      <c r="E466" s="5" t="n">
        <v>0</v>
      </c>
      <c r="F466" s="5" t="n">
        <v>0</v>
      </c>
      <c r="G466" s="5" t="s">
        <v>2362</v>
      </c>
      <c r="H466" s="5" t="s">
        <v>229</v>
      </c>
    </row>
    <row r="467" customFormat="false" ht="15" hidden="false" customHeight="false" outlineLevel="0" collapsed="false">
      <c r="A467" s="5" t="n">
        <v>466</v>
      </c>
      <c r="B467" s="5" t="s">
        <v>2363</v>
      </c>
      <c r="C467" s="5" t="s">
        <v>1181</v>
      </c>
      <c r="D467" s="5" t="n">
        <v>1</v>
      </c>
      <c r="E467" s="5" t="n">
        <v>0</v>
      </c>
      <c r="F467" s="5" t="n">
        <v>0</v>
      </c>
      <c r="G467" s="5" t="s">
        <v>2364</v>
      </c>
      <c r="H467" s="5" t="s">
        <v>698</v>
      </c>
    </row>
    <row r="468" customFormat="false" ht="15" hidden="false" customHeight="false" outlineLevel="0" collapsed="false">
      <c r="A468" s="5" t="n">
        <v>467</v>
      </c>
      <c r="B468" s="5" t="s">
        <v>2365</v>
      </c>
      <c r="C468" s="5" t="s">
        <v>1181</v>
      </c>
      <c r="D468" s="5" t="n">
        <v>1</v>
      </c>
      <c r="E468" s="5" t="n">
        <v>0</v>
      </c>
      <c r="F468" s="5" t="n">
        <v>0</v>
      </c>
      <c r="G468" s="5" t="s">
        <v>2366</v>
      </c>
      <c r="H468" s="5" t="s">
        <v>251</v>
      </c>
    </row>
    <row r="469" customFormat="false" ht="15" hidden="false" customHeight="false" outlineLevel="0" collapsed="false">
      <c r="A469" s="5" t="n">
        <v>468</v>
      </c>
      <c r="B469" s="5" t="s">
        <v>2367</v>
      </c>
      <c r="C469" s="5" t="s">
        <v>1181</v>
      </c>
      <c r="D469" s="5" t="n">
        <v>1</v>
      </c>
      <c r="E469" s="5" t="n">
        <v>0</v>
      </c>
      <c r="F469" s="5" t="n">
        <v>0</v>
      </c>
      <c r="G469" s="5" t="s">
        <v>2368</v>
      </c>
      <c r="H469" s="5" t="s">
        <v>431</v>
      </c>
    </row>
    <row r="470" customFormat="false" ht="15" hidden="false" customHeight="false" outlineLevel="0" collapsed="false">
      <c r="A470" s="5" t="n">
        <v>469</v>
      </c>
      <c r="B470" s="5" t="s">
        <v>2369</v>
      </c>
      <c r="C470" s="5" t="s">
        <v>1181</v>
      </c>
      <c r="D470" s="5" t="n">
        <v>1</v>
      </c>
      <c r="E470" s="5" t="n">
        <v>0</v>
      </c>
      <c r="F470" s="5" t="n">
        <v>0</v>
      </c>
      <c r="G470" s="5" t="s">
        <v>2370</v>
      </c>
      <c r="H470" s="5" t="s">
        <v>810</v>
      </c>
    </row>
    <row r="471" customFormat="false" ht="15" hidden="false" customHeight="false" outlineLevel="0" collapsed="false">
      <c r="A471" s="5" t="n">
        <v>470</v>
      </c>
      <c r="B471" s="5" t="s">
        <v>2371</v>
      </c>
      <c r="C471" s="5" t="s">
        <v>1181</v>
      </c>
      <c r="D471" s="5" t="n">
        <v>1</v>
      </c>
      <c r="E471" s="5" t="n">
        <v>0</v>
      </c>
      <c r="F471" s="5" t="n">
        <v>0</v>
      </c>
      <c r="G471" s="5" t="s">
        <v>2372</v>
      </c>
      <c r="H471" s="5" t="s">
        <v>637</v>
      </c>
    </row>
    <row r="472" customFormat="false" ht="15" hidden="false" customHeight="false" outlineLevel="0" collapsed="false">
      <c r="A472" s="5" t="n">
        <v>471</v>
      </c>
      <c r="B472" s="5" t="s">
        <v>2373</v>
      </c>
      <c r="C472" s="5" t="s">
        <v>1181</v>
      </c>
      <c r="D472" s="5" t="n">
        <v>1</v>
      </c>
      <c r="E472" s="5" t="n">
        <v>0</v>
      </c>
      <c r="F472" s="5" t="n">
        <v>0</v>
      </c>
      <c r="G472" s="5" t="s">
        <v>2374</v>
      </c>
      <c r="H472" s="5" t="s">
        <v>578</v>
      </c>
    </row>
    <row r="473" customFormat="false" ht="15" hidden="false" customHeight="false" outlineLevel="0" collapsed="false">
      <c r="A473" s="5" t="n">
        <v>472</v>
      </c>
      <c r="B473" s="5" t="s">
        <v>2375</v>
      </c>
      <c r="C473" s="5" t="s">
        <v>1176</v>
      </c>
      <c r="D473" s="5" t="n">
        <v>1</v>
      </c>
      <c r="E473" s="5" t="n">
        <v>0</v>
      </c>
      <c r="F473" s="5" t="n">
        <v>0</v>
      </c>
      <c r="G473" s="5" t="s">
        <v>2376</v>
      </c>
      <c r="H473" s="5" t="s">
        <v>826</v>
      </c>
    </row>
    <row r="474" customFormat="false" ht="15" hidden="false" customHeight="false" outlineLevel="0" collapsed="false">
      <c r="A474" s="5" t="n">
        <v>473</v>
      </c>
      <c r="B474" s="5" t="s">
        <v>2377</v>
      </c>
      <c r="C474" s="5" t="s">
        <v>1181</v>
      </c>
      <c r="D474" s="5" t="n">
        <v>1</v>
      </c>
      <c r="E474" s="5" t="n">
        <v>0</v>
      </c>
      <c r="F474" s="5" t="n">
        <v>0</v>
      </c>
      <c r="G474" s="5" t="s">
        <v>2378</v>
      </c>
      <c r="H474" s="5" t="s">
        <v>826</v>
      </c>
    </row>
    <row r="475" customFormat="false" ht="15" hidden="false" customHeight="false" outlineLevel="0" collapsed="false">
      <c r="A475" s="5" t="n">
        <v>474</v>
      </c>
      <c r="B475" s="5" t="s">
        <v>2379</v>
      </c>
      <c r="C475" s="5" t="s">
        <v>1181</v>
      </c>
      <c r="D475" s="5" t="n">
        <v>1</v>
      </c>
      <c r="E475" s="5" t="n">
        <v>0</v>
      </c>
      <c r="F475" s="5" t="n">
        <v>0</v>
      </c>
      <c r="G475" s="5" t="s">
        <v>2380</v>
      </c>
      <c r="H475" s="5" t="s">
        <v>784</v>
      </c>
    </row>
    <row r="476" customFormat="false" ht="15" hidden="false" customHeight="false" outlineLevel="0" collapsed="false">
      <c r="A476" s="5" t="n">
        <v>475</v>
      </c>
      <c r="B476" s="5" t="s">
        <v>2381</v>
      </c>
      <c r="C476" s="5" t="s">
        <v>1181</v>
      </c>
      <c r="D476" s="5" t="n">
        <v>1</v>
      </c>
      <c r="E476" s="5" t="n">
        <v>0</v>
      </c>
      <c r="F476" s="5" t="n">
        <v>0</v>
      </c>
      <c r="G476" s="5" t="s">
        <v>2382</v>
      </c>
      <c r="H476" s="5" t="s">
        <v>543</v>
      </c>
    </row>
    <row r="477" customFormat="false" ht="15" hidden="false" customHeight="false" outlineLevel="0" collapsed="false">
      <c r="A477" s="5" t="n">
        <v>476</v>
      </c>
      <c r="B477" s="5" t="s">
        <v>2383</v>
      </c>
      <c r="C477" s="5" t="s">
        <v>1181</v>
      </c>
      <c r="D477" s="5" t="n">
        <v>1</v>
      </c>
      <c r="E477" s="5" t="n">
        <v>0</v>
      </c>
      <c r="F477" s="5" t="n">
        <v>0</v>
      </c>
      <c r="G477" s="5" t="s">
        <v>2384</v>
      </c>
      <c r="H477" s="5" t="s">
        <v>994</v>
      </c>
    </row>
    <row r="478" customFormat="false" ht="15" hidden="false" customHeight="false" outlineLevel="0" collapsed="false">
      <c r="A478" s="5" t="n">
        <v>477</v>
      </c>
      <c r="B478" s="5" t="s">
        <v>2385</v>
      </c>
      <c r="C478" s="5" t="s">
        <v>1176</v>
      </c>
      <c r="D478" s="5" t="n">
        <v>1</v>
      </c>
      <c r="E478" s="5" t="n">
        <v>0</v>
      </c>
      <c r="F478" s="5" t="n">
        <v>0</v>
      </c>
      <c r="G478" s="5" t="s">
        <v>2386</v>
      </c>
      <c r="H478" s="5" t="s">
        <v>1085</v>
      </c>
    </row>
    <row r="479" customFormat="false" ht="15" hidden="false" customHeight="false" outlineLevel="0" collapsed="false">
      <c r="A479" s="5" t="n">
        <v>478</v>
      </c>
      <c r="B479" s="5" t="s">
        <v>2387</v>
      </c>
      <c r="C479" s="5" t="s">
        <v>1181</v>
      </c>
      <c r="D479" s="5" t="n">
        <v>1</v>
      </c>
      <c r="E479" s="5" t="n">
        <v>0</v>
      </c>
      <c r="F479" s="5" t="n">
        <v>0</v>
      </c>
      <c r="G479" s="5" t="s">
        <v>2388</v>
      </c>
      <c r="H479" s="5" t="s">
        <v>329</v>
      </c>
    </row>
    <row r="480" customFormat="false" ht="15" hidden="false" customHeight="false" outlineLevel="0" collapsed="false">
      <c r="A480" s="5" t="n">
        <v>479</v>
      </c>
      <c r="B480" s="5" t="s">
        <v>2389</v>
      </c>
      <c r="C480" s="5" t="s">
        <v>1181</v>
      </c>
      <c r="D480" s="5" t="n">
        <v>1</v>
      </c>
      <c r="E480" s="5" t="n">
        <v>0</v>
      </c>
      <c r="F480" s="5" t="n">
        <v>0</v>
      </c>
      <c r="G480" s="5" t="s">
        <v>2390</v>
      </c>
      <c r="H480" s="5" t="s">
        <v>533</v>
      </c>
    </row>
    <row r="481" customFormat="false" ht="15" hidden="false" customHeight="false" outlineLevel="0" collapsed="false">
      <c r="A481" s="5" t="n">
        <v>480</v>
      </c>
      <c r="B481" s="5" t="s">
        <v>2391</v>
      </c>
      <c r="C481" s="5" t="s">
        <v>1181</v>
      </c>
      <c r="D481" s="5" t="n">
        <v>1</v>
      </c>
      <c r="E481" s="5" t="n">
        <v>0</v>
      </c>
      <c r="F481" s="5" t="n">
        <v>0</v>
      </c>
      <c r="G481" s="5" t="s">
        <v>2392</v>
      </c>
      <c r="H481" s="5" t="s">
        <v>535</v>
      </c>
    </row>
    <row r="482" customFormat="false" ht="15" hidden="false" customHeight="false" outlineLevel="0" collapsed="false">
      <c r="A482" s="5" t="n">
        <v>481</v>
      </c>
      <c r="B482" s="5" t="s">
        <v>2393</v>
      </c>
      <c r="C482" s="5" t="s">
        <v>1181</v>
      </c>
      <c r="D482" s="5" t="n">
        <v>1</v>
      </c>
      <c r="E482" s="5" t="n">
        <v>0</v>
      </c>
      <c r="F482" s="5" t="n">
        <v>0</v>
      </c>
      <c r="G482" s="5" t="s">
        <v>2394</v>
      </c>
      <c r="H482" s="5" t="s">
        <v>824</v>
      </c>
    </row>
    <row r="483" customFormat="false" ht="15" hidden="false" customHeight="false" outlineLevel="0" collapsed="false">
      <c r="A483" s="5" t="n">
        <v>482</v>
      </c>
      <c r="B483" s="5" t="s">
        <v>2395</v>
      </c>
      <c r="C483" s="5" t="s">
        <v>1181</v>
      </c>
      <c r="D483" s="5" t="n">
        <v>1</v>
      </c>
      <c r="E483" s="5" t="n">
        <v>0</v>
      </c>
      <c r="F483" s="5" t="n">
        <v>0</v>
      </c>
      <c r="G483" s="5" t="s">
        <v>2396</v>
      </c>
      <c r="H483" s="5" t="s">
        <v>642</v>
      </c>
    </row>
    <row r="484" customFormat="false" ht="15" hidden="false" customHeight="false" outlineLevel="0" collapsed="false">
      <c r="A484" s="5" t="n">
        <v>483</v>
      </c>
      <c r="B484" s="5" t="s">
        <v>2397</v>
      </c>
      <c r="C484" s="5" t="s">
        <v>1181</v>
      </c>
      <c r="D484" s="5" t="n">
        <v>1</v>
      </c>
      <c r="E484" s="5" t="n">
        <v>0</v>
      </c>
      <c r="F484" s="5" t="n">
        <v>0</v>
      </c>
      <c r="G484" s="5" t="s">
        <v>2398</v>
      </c>
      <c r="H484" s="5" t="s">
        <v>825</v>
      </c>
    </row>
    <row r="485" customFormat="false" ht="15" hidden="false" customHeight="false" outlineLevel="0" collapsed="false">
      <c r="A485" s="5" t="n">
        <v>484</v>
      </c>
      <c r="B485" s="5" t="s">
        <v>2399</v>
      </c>
      <c r="C485" s="5" t="s">
        <v>1181</v>
      </c>
      <c r="D485" s="5" t="n">
        <v>1</v>
      </c>
      <c r="E485" s="5" t="n">
        <v>0</v>
      </c>
      <c r="F485" s="5" t="n">
        <v>0</v>
      </c>
      <c r="G485" s="5" t="s">
        <v>2400</v>
      </c>
      <c r="H485" s="5" t="s">
        <v>733</v>
      </c>
    </row>
    <row r="486" customFormat="false" ht="15" hidden="false" customHeight="false" outlineLevel="0" collapsed="false">
      <c r="A486" s="5" t="n">
        <v>485</v>
      </c>
      <c r="B486" s="5" t="s">
        <v>2401</v>
      </c>
      <c r="C486" s="5" t="s">
        <v>1181</v>
      </c>
      <c r="D486" s="5" t="n">
        <v>1</v>
      </c>
      <c r="E486" s="5" t="n">
        <v>0</v>
      </c>
      <c r="F486" s="5" t="n">
        <v>0</v>
      </c>
      <c r="G486" s="5" t="s">
        <v>2402</v>
      </c>
      <c r="H486" s="5" t="s">
        <v>245</v>
      </c>
    </row>
    <row r="487" customFormat="false" ht="15" hidden="false" customHeight="false" outlineLevel="0" collapsed="false">
      <c r="A487" s="5" t="n">
        <v>486</v>
      </c>
      <c r="B487" s="5" t="s">
        <v>2403</v>
      </c>
      <c r="C487" s="5" t="s">
        <v>1181</v>
      </c>
      <c r="D487" s="5" t="n">
        <v>1</v>
      </c>
      <c r="E487" s="5" t="n">
        <v>0</v>
      </c>
      <c r="F487" s="5" t="n">
        <v>0</v>
      </c>
      <c r="G487" s="5" t="s">
        <v>2404</v>
      </c>
      <c r="H487" s="5" t="s">
        <v>826</v>
      </c>
    </row>
    <row r="488" customFormat="false" ht="15" hidden="false" customHeight="false" outlineLevel="0" collapsed="false">
      <c r="A488" s="5" t="n">
        <v>487</v>
      </c>
      <c r="B488" s="5" t="s">
        <v>2405</v>
      </c>
      <c r="C488" s="5" t="s">
        <v>1181</v>
      </c>
      <c r="D488" s="5" t="n">
        <v>1</v>
      </c>
      <c r="E488" s="5" t="n">
        <v>0</v>
      </c>
      <c r="F488" s="5" t="n">
        <v>0</v>
      </c>
      <c r="G488" s="5" t="s">
        <v>2406</v>
      </c>
      <c r="H488" s="5" t="s">
        <v>1131</v>
      </c>
    </row>
    <row r="489" customFormat="false" ht="15" hidden="false" customHeight="false" outlineLevel="0" collapsed="false">
      <c r="A489" s="5" t="n">
        <v>488</v>
      </c>
      <c r="B489" s="5" t="s">
        <v>2407</v>
      </c>
      <c r="C489" s="5" t="s">
        <v>1181</v>
      </c>
      <c r="D489" s="5" t="n">
        <v>1</v>
      </c>
      <c r="E489" s="5" t="n">
        <v>0</v>
      </c>
      <c r="F489" s="5" t="n">
        <v>0</v>
      </c>
      <c r="G489" s="5" t="s">
        <v>2408</v>
      </c>
      <c r="H489" s="5" t="s">
        <v>520</v>
      </c>
    </row>
    <row r="490" customFormat="false" ht="15" hidden="false" customHeight="false" outlineLevel="0" collapsed="false">
      <c r="A490" s="5" t="n">
        <v>489</v>
      </c>
      <c r="B490" s="5" t="s">
        <v>2409</v>
      </c>
      <c r="C490" s="5" t="s">
        <v>1181</v>
      </c>
      <c r="D490" s="5" t="n">
        <v>1</v>
      </c>
      <c r="E490" s="5" t="n">
        <v>0</v>
      </c>
      <c r="F490" s="5" t="n">
        <v>0</v>
      </c>
      <c r="G490" s="5" t="s">
        <v>2410</v>
      </c>
      <c r="H490" s="5" t="s">
        <v>594</v>
      </c>
    </row>
    <row r="491" customFormat="false" ht="15" hidden="false" customHeight="false" outlineLevel="0" collapsed="false">
      <c r="A491" s="5" t="n">
        <v>490</v>
      </c>
      <c r="B491" s="5" t="s">
        <v>2411</v>
      </c>
      <c r="C491" s="5" t="s">
        <v>1181</v>
      </c>
      <c r="D491" s="5" t="n">
        <v>1</v>
      </c>
      <c r="E491" s="5" t="n">
        <v>0</v>
      </c>
      <c r="F491" s="5" t="n">
        <v>0</v>
      </c>
      <c r="G491" s="5" t="s">
        <v>2412</v>
      </c>
      <c r="H491" s="5" t="s">
        <v>403</v>
      </c>
    </row>
    <row r="492" customFormat="false" ht="15" hidden="false" customHeight="false" outlineLevel="0" collapsed="false">
      <c r="A492" s="5" t="n">
        <v>491</v>
      </c>
      <c r="B492" s="5" t="s">
        <v>2413</v>
      </c>
      <c r="C492" s="5" t="s">
        <v>1181</v>
      </c>
      <c r="D492" s="5" t="n">
        <v>1</v>
      </c>
      <c r="E492" s="5" t="n">
        <v>0</v>
      </c>
      <c r="F492" s="5" t="n">
        <v>0</v>
      </c>
      <c r="G492" s="5" t="s">
        <v>2414</v>
      </c>
      <c r="H492" s="5" t="s">
        <v>590</v>
      </c>
    </row>
    <row r="493" customFormat="false" ht="15" hidden="false" customHeight="false" outlineLevel="0" collapsed="false">
      <c r="A493" s="5" t="n">
        <v>492</v>
      </c>
      <c r="B493" s="5" t="s">
        <v>2415</v>
      </c>
      <c r="C493" s="5" t="s">
        <v>1181</v>
      </c>
      <c r="D493" s="5" t="n">
        <v>1</v>
      </c>
      <c r="E493" s="5" t="n">
        <v>0</v>
      </c>
      <c r="F493" s="5" t="n">
        <v>0</v>
      </c>
      <c r="G493" s="5" t="s">
        <v>2416</v>
      </c>
      <c r="H493" s="5" t="s">
        <v>99</v>
      </c>
    </row>
    <row r="494" customFormat="false" ht="15" hidden="false" customHeight="false" outlineLevel="0" collapsed="false">
      <c r="A494" s="5" t="n">
        <v>493</v>
      </c>
      <c r="B494" s="5" t="s">
        <v>2417</v>
      </c>
      <c r="C494" s="5" t="s">
        <v>1181</v>
      </c>
      <c r="D494" s="5" t="n">
        <v>1</v>
      </c>
      <c r="E494" s="5" t="n">
        <v>0</v>
      </c>
      <c r="F494" s="5" t="n">
        <v>0</v>
      </c>
      <c r="G494" s="5" t="s">
        <v>2418</v>
      </c>
      <c r="H494" s="5" t="s">
        <v>1117</v>
      </c>
    </row>
    <row r="495" customFormat="false" ht="15" hidden="false" customHeight="false" outlineLevel="0" collapsed="false">
      <c r="A495" s="5" t="n">
        <v>494</v>
      </c>
      <c r="B495" s="5" t="s">
        <v>2419</v>
      </c>
      <c r="C495" s="5" t="s">
        <v>1181</v>
      </c>
      <c r="D495" s="5" t="n">
        <v>1</v>
      </c>
      <c r="E495" s="5" t="n">
        <v>0</v>
      </c>
      <c r="F495" s="5" t="n">
        <v>0</v>
      </c>
      <c r="G495" s="5" t="s">
        <v>2420</v>
      </c>
      <c r="H495" s="5" t="s">
        <v>659</v>
      </c>
    </row>
    <row r="496" customFormat="false" ht="15" hidden="false" customHeight="false" outlineLevel="0" collapsed="false">
      <c r="A496" s="5" t="n">
        <v>495</v>
      </c>
      <c r="B496" s="5" t="s">
        <v>2421</v>
      </c>
      <c r="C496" s="5" t="s">
        <v>1181</v>
      </c>
      <c r="D496" s="5" t="n">
        <v>1</v>
      </c>
      <c r="E496" s="5" t="n">
        <v>0</v>
      </c>
      <c r="F496" s="5" t="n">
        <v>0</v>
      </c>
      <c r="G496" s="5" t="s">
        <v>2422</v>
      </c>
      <c r="H496" s="5" t="s">
        <v>580</v>
      </c>
    </row>
    <row r="497" customFormat="false" ht="15" hidden="false" customHeight="false" outlineLevel="0" collapsed="false">
      <c r="A497" s="5" t="n">
        <v>496</v>
      </c>
      <c r="B497" s="5" t="s">
        <v>2423</v>
      </c>
      <c r="C497" s="5" t="s">
        <v>1181</v>
      </c>
      <c r="D497" s="5" t="n">
        <v>1</v>
      </c>
      <c r="E497" s="5" t="n">
        <v>0</v>
      </c>
      <c r="F497" s="5" t="n">
        <v>0</v>
      </c>
      <c r="G497" s="5" t="s">
        <v>2424</v>
      </c>
      <c r="H497" s="5" t="s">
        <v>619</v>
      </c>
    </row>
    <row r="498" customFormat="false" ht="15" hidden="false" customHeight="false" outlineLevel="0" collapsed="false">
      <c r="A498" s="5" t="n">
        <v>497</v>
      </c>
      <c r="B498" s="5" t="s">
        <v>845</v>
      </c>
      <c r="C498" s="5" t="s">
        <v>1181</v>
      </c>
      <c r="D498" s="5" t="n">
        <v>1</v>
      </c>
      <c r="E498" s="5" t="n">
        <v>0</v>
      </c>
      <c r="F498" s="5" t="n">
        <v>0</v>
      </c>
      <c r="G498" s="5" t="s">
        <v>2425</v>
      </c>
      <c r="H498" s="5" t="s">
        <v>843</v>
      </c>
    </row>
    <row r="499" customFormat="false" ht="15" hidden="false" customHeight="false" outlineLevel="0" collapsed="false">
      <c r="A499" s="5" t="n">
        <v>498</v>
      </c>
      <c r="B499" s="5" t="s">
        <v>2426</v>
      </c>
      <c r="C499" s="5" t="s">
        <v>1176</v>
      </c>
      <c r="D499" s="5" t="n">
        <v>1</v>
      </c>
      <c r="E499" s="5" t="n">
        <v>0</v>
      </c>
      <c r="F499" s="5" t="n">
        <v>0</v>
      </c>
      <c r="G499" s="5" t="s">
        <v>2427</v>
      </c>
      <c r="H499" s="5" t="s">
        <v>120</v>
      </c>
    </row>
    <row r="500" customFormat="false" ht="15" hidden="false" customHeight="false" outlineLevel="0" collapsed="false">
      <c r="A500" s="5" t="n">
        <v>499</v>
      </c>
      <c r="B500" s="5" t="s">
        <v>2428</v>
      </c>
      <c r="C500" s="5" t="s">
        <v>1181</v>
      </c>
      <c r="D500" s="5" t="n">
        <v>1</v>
      </c>
      <c r="E500" s="5" t="n">
        <v>0</v>
      </c>
      <c r="F500" s="5" t="n">
        <v>0</v>
      </c>
      <c r="G500" s="5" t="s">
        <v>2429</v>
      </c>
      <c r="H500" s="5" t="s">
        <v>598</v>
      </c>
    </row>
    <row r="501" customFormat="false" ht="15" hidden="false" customHeight="false" outlineLevel="0" collapsed="false">
      <c r="A501" s="5" t="n">
        <v>500</v>
      </c>
      <c r="B501" s="5" t="s">
        <v>2430</v>
      </c>
      <c r="C501" s="5" t="s">
        <v>1181</v>
      </c>
      <c r="D501" s="5" t="n">
        <v>1</v>
      </c>
      <c r="E501" s="5" t="n">
        <v>0</v>
      </c>
      <c r="F501" s="5" t="n">
        <v>0</v>
      </c>
      <c r="G501" s="5" t="s">
        <v>2431</v>
      </c>
      <c r="H501" s="5" t="s">
        <v>1085</v>
      </c>
    </row>
    <row r="502" customFormat="false" ht="15" hidden="false" customHeight="false" outlineLevel="0" collapsed="false">
      <c r="A502" s="5" t="n">
        <v>501</v>
      </c>
      <c r="B502" s="5" t="s">
        <v>2432</v>
      </c>
      <c r="C502" s="5" t="s">
        <v>1181</v>
      </c>
      <c r="D502" s="5" t="n">
        <v>1</v>
      </c>
      <c r="E502" s="5" t="n">
        <v>0</v>
      </c>
      <c r="F502" s="5" t="n">
        <v>0</v>
      </c>
      <c r="G502" s="5" t="s">
        <v>2433</v>
      </c>
      <c r="H502" s="5" t="s">
        <v>423</v>
      </c>
    </row>
    <row r="503" customFormat="false" ht="15" hidden="false" customHeight="false" outlineLevel="0" collapsed="false">
      <c r="A503" s="5" t="n">
        <v>502</v>
      </c>
      <c r="B503" s="5" t="s">
        <v>2434</v>
      </c>
      <c r="C503" s="5" t="s">
        <v>1181</v>
      </c>
      <c r="D503" s="5" t="n">
        <v>1</v>
      </c>
      <c r="E503" s="5" t="n">
        <v>0</v>
      </c>
      <c r="F503" s="5" t="n">
        <v>0</v>
      </c>
      <c r="G503" s="5" t="s">
        <v>2435</v>
      </c>
      <c r="H503" s="5" t="s">
        <v>622</v>
      </c>
    </row>
    <row r="504" customFormat="false" ht="15" hidden="false" customHeight="false" outlineLevel="0" collapsed="false">
      <c r="A504" s="5" t="n">
        <v>503</v>
      </c>
      <c r="B504" s="5" t="s">
        <v>2436</v>
      </c>
      <c r="C504" s="5" t="s">
        <v>1181</v>
      </c>
      <c r="D504" s="5" t="n">
        <v>1</v>
      </c>
      <c r="E504" s="5" t="n">
        <v>0</v>
      </c>
      <c r="F504" s="5" t="n">
        <v>0</v>
      </c>
      <c r="G504" s="5" t="s">
        <v>2437</v>
      </c>
      <c r="H504" s="5" t="s">
        <v>680</v>
      </c>
    </row>
    <row r="505" customFormat="false" ht="15" hidden="false" customHeight="false" outlineLevel="0" collapsed="false">
      <c r="A505" s="5" t="n">
        <v>504</v>
      </c>
      <c r="B505" s="5" t="s">
        <v>2438</v>
      </c>
      <c r="C505" s="5" t="s">
        <v>1181</v>
      </c>
      <c r="D505" s="5" t="n">
        <v>1</v>
      </c>
      <c r="E505" s="5" t="n">
        <v>0</v>
      </c>
      <c r="F505" s="5" t="n">
        <v>0</v>
      </c>
      <c r="G505" s="5" t="s">
        <v>2439</v>
      </c>
      <c r="H505" s="5" t="s">
        <v>467</v>
      </c>
    </row>
    <row r="506" customFormat="false" ht="15" hidden="false" customHeight="false" outlineLevel="0" collapsed="false">
      <c r="A506" s="5" t="n">
        <v>505</v>
      </c>
      <c r="B506" s="5" t="s">
        <v>2440</v>
      </c>
      <c r="C506" s="5" t="s">
        <v>1181</v>
      </c>
      <c r="D506" s="5" t="n">
        <v>1</v>
      </c>
      <c r="E506" s="5" t="n">
        <v>0</v>
      </c>
      <c r="F506" s="5" t="n">
        <v>0</v>
      </c>
      <c r="G506" s="5" t="s">
        <v>2441</v>
      </c>
      <c r="H506" s="5" t="s">
        <v>622</v>
      </c>
    </row>
    <row r="507" customFormat="false" ht="15" hidden="false" customHeight="false" outlineLevel="0" collapsed="false">
      <c r="A507" s="5" t="n">
        <v>506</v>
      </c>
      <c r="B507" s="5" t="s">
        <v>2442</v>
      </c>
      <c r="C507" s="5" t="s">
        <v>1181</v>
      </c>
      <c r="D507" s="5" t="n">
        <v>1</v>
      </c>
      <c r="E507" s="5" t="n">
        <v>0</v>
      </c>
      <c r="F507" s="5" t="n">
        <v>0</v>
      </c>
      <c r="G507" s="5" t="s">
        <v>2443</v>
      </c>
      <c r="H507" s="5" t="s">
        <v>1007</v>
      </c>
    </row>
    <row r="508" customFormat="false" ht="15" hidden="false" customHeight="false" outlineLevel="0" collapsed="false">
      <c r="A508" s="5" t="n">
        <v>507</v>
      </c>
      <c r="B508" s="5" t="s">
        <v>2444</v>
      </c>
      <c r="C508" s="5" t="s">
        <v>1181</v>
      </c>
      <c r="D508" s="5" t="n">
        <v>1</v>
      </c>
      <c r="E508" s="5" t="n">
        <v>0</v>
      </c>
      <c r="F508" s="5" t="n">
        <v>0</v>
      </c>
      <c r="G508" s="5" t="s">
        <v>2445</v>
      </c>
      <c r="H508" s="5" t="s">
        <v>403</v>
      </c>
    </row>
    <row r="509" customFormat="false" ht="15" hidden="false" customHeight="false" outlineLevel="0" collapsed="false">
      <c r="A509" s="5" t="n">
        <v>508</v>
      </c>
      <c r="B509" s="5" t="s">
        <v>2446</v>
      </c>
      <c r="C509" s="5" t="s">
        <v>1181</v>
      </c>
      <c r="D509" s="5" t="n">
        <v>1</v>
      </c>
      <c r="E509" s="5" t="n">
        <v>0</v>
      </c>
      <c r="F509" s="5" t="n">
        <v>0</v>
      </c>
      <c r="G509" s="5" t="s">
        <v>2447</v>
      </c>
      <c r="H509" s="5" t="s">
        <v>704</v>
      </c>
    </row>
    <row r="510" customFormat="false" ht="15" hidden="false" customHeight="false" outlineLevel="0" collapsed="false">
      <c r="A510" s="5" t="n">
        <v>509</v>
      </c>
      <c r="B510" s="5" t="s">
        <v>2448</v>
      </c>
      <c r="C510" s="5" t="s">
        <v>1181</v>
      </c>
      <c r="D510" s="5" t="n">
        <v>1</v>
      </c>
      <c r="E510" s="5" t="n">
        <v>0</v>
      </c>
      <c r="F510" s="5" t="n">
        <v>0</v>
      </c>
      <c r="G510" s="5" t="s">
        <v>2449</v>
      </c>
      <c r="H510" s="5" t="s">
        <v>513</v>
      </c>
    </row>
    <row r="511" customFormat="false" ht="15" hidden="false" customHeight="false" outlineLevel="0" collapsed="false">
      <c r="A511" s="5" t="n">
        <v>510</v>
      </c>
      <c r="B511" s="5" t="s">
        <v>2450</v>
      </c>
      <c r="C511" s="5" t="s">
        <v>1181</v>
      </c>
      <c r="D511" s="5" t="n">
        <v>1</v>
      </c>
      <c r="E511" s="5" t="n">
        <v>0</v>
      </c>
      <c r="F511" s="5" t="n">
        <v>0</v>
      </c>
      <c r="G511" s="5" t="s">
        <v>2451</v>
      </c>
      <c r="H511" s="5" t="s">
        <v>1133</v>
      </c>
    </row>
    <row r="512" customFormat="false" ht="15" hidden="false" customHeight="false" outlineLevel="0" collapsed="false">
      <c r="A512" s="5" t="n">
        <v>511</v>
      </c>
      <c r="B512" s="5" t="s">
        <v>2452</v>
      </c>
      <c r="C512" s="5" t="s">
        <v>1181</v>
      </c>
      <c r="D512" s="5" t="n">
        <v>1</v>
      </c>
      <c r="E512" s="5" t="n">
        <v>0</v>
      </c>
      <c r="F512" s="5" t="n">
        <v>0</v>
      </c>
      <c r="G512" s="5" t="s">
        <v>2453</v>
      </c>
      <c r="H512" s="5" t="s">
        <v>640</v>
      </c>
    </row>
    <row r="513" customFormat="false" ht="15" hidden="false" customHeight="false" outlineLevel="0" collapsed="false">
      <c r="A513" s="5" t="n">
        <v>512</v>
      </c>
      <c r="B513" s="5" t="s">
        <v>2454</v>
      </c>
      <c r="C513" s="5" t="s">
        <v>1176</v>
      </c>
      <c r="D513" s="5" t="n">
        <v>1</v>
      </c>
      <c r="E513" s="5" t="n">
        <v>0</v>
      </c>
      <c r="F513" s="5" t="n">
        <v>0</v>
      </c>
      <c r="G513" s="5" t="s">
        <v>2455</v>
      </c>
      <c r="H513" s="5" t="s">
        <v>1090</v>
      </c>
    </row>
    <row r="514" customFormat="false" ht="15" hidden="false" customHeight="false" outlineLevel="0" collapsed="false">
      <c r="A514" s="5" t="n">
        <v>513</v>
      </c>
      <c r="B514" s="5" t="s">
        <v>2456</v>
      </c>
      <c r="C514" s="5" t="s">
        <v>1181</v>
      </c>
      <c r="D514" s="5" t="n">
        <v>1</v>
      </c>
      <c r="E514" s="5" t="n">
        <v>0</v>
      </c>
      <c r="F514" s="5" t="n">
        <v>0</v>
      </c>
      <c r="G514" s="5" t="s">
        <v>2457</v>
      </c>
      <c r="H514" s="5" t="s">
        <v>724</v>
      </c>
    </row>
    <row r="515" customFormat="false" ht="15" hidden="false" customHeight="false" outlineLevel="0" collapsed="false">
      <c r="A515" s="5" t="n">
        <v>514</v>
      </c>
      <c r="B515" s="5" t="s">
        <v>2458</v>
      </c>
      <c r="C515" s="5" t="s">
        <v>1181</v>
      </c>
      <c r="D515" s="5" t="n">
        <v>1</v>
      </c>
      <c r="E515" s="5" t="n">
        <v>0</v>
      </c>
      <c r="F515" s="5" t="n">
        <v>0</v>
      </c>
      <c r="G515" s="5" t="s">
        <v>2459</v>
      </c>
      <c r="H515" s="5" t="s">
        <v>733</v>
      </c>
    </row>
    <row r="516" customFormat="false" ht="15" hidden="false" customHeight="false" outlineLevel="0" collapsed="false">
      <c r="A516" s="5" t="n">
        <v>515</v>
      </c>
      <c r="B516" s="5" t="s">
        <v>2460</v>
      </c>
      <c r="C516" s="5" t="s">
        <v>1181</v>
      </c>
      <c r="D516" s="5" t="n">
        <v>1</v>
      </c>
      <c r="E516" s="5" t="n">
        <v>0</v>
      </c>
      <c r="F516" s="5" t="n">
        <v>0</v>
      </c>
      <c r="G516" s="5" t="s">
        <v>2461</v>
      </c>
      <c r="H516" s="5" t="s">
        <v>272</v>
      </c>
    </row>
    <row r="517" customFormat="false" ht="15" hidden="false" customHeight="false" outlineLevel="0" collapsed="false">
      <c r="A517" s="5" t="n">
        <v>516</v>
      </c>
      <c r="B517" s="5" t="s">
        <v>2462</v>
      </c>
      <c r="C517" s="5" t="s">
        <v>1181</v>
      </c>
      <c r="D517" s="5" t="n">
        <v>1</v>
      </c>
      <c r="E517" s="5" t="n">
        <v>0</v>
      </c>
      <c r="F517" s="5" t="n">
        <v>0</v>
      </c>
      <c r="G517" s="5" t="s">
        <v>2463</v>
      </c>
      <c r="H517" s="5" t="s">
        <v>998</v>
      </c>
    </row>
    <row r="518" customFormat="false" ht="15" hidden="false" customHeight="false" outlineLevel="0" collapsed="false">
      <c r="A518" s="5" t="n">
        <v>517</v>
      </c>
      <c r="B518" s="5" t="s">
        <v>1124</v>
      </c>
      <c r="C518" s="5" t="s">
        <v>1181</v>
      </c>
      <c r="D518" s="5" t="n">
        <v>1</v>
      </c>
      <c r="E518" s="5" t="n">
        <v>0</v>
      </c>
      <c r="F518" s="5" t="n">
        <v>0</v>
      </c>
      <c r="G518" s="5" t="s">
        <v>2464</v>
      </c>
      <c r="H518" s="5" t="s">
        <v>1123</v>
      </c>
    </row>
    <row r="519" customFormat="false" ht="15" hidden="false" customHeight="false" outlineLevel="0" collapsed="false">
      <c r="A519" s="5" t="n">
        <v>518</v>
      </c>
      <c r="B519" s="5" t="s">
        <v>883</v>
      </c>
      <c r="C519" s="5" t="s">
        <v>1176</v>
      </c>
      <c r="D519" s="5" t="n">
        <v>1</v>
      </c>
      <c r="E519" s="5" t="n">
        <v>0</v>
      </c>
      <c r="F519" s="5" t="n">
        <v>0</v>
      </c>
      <c r="G519" s="5" t="s">
        <v>2465</v>
      </c>
      <c r="H519" s="5" t="s">
        <v>882</v>
      </c>
    </row>
    <row r="520" customFormat="false" ht="15" hidden="false" customHeight="false" outlineLevel="0" collapsed="false">
      <c r="A520" s="5" t="n">
        <v>519</v>
      </c>
      <c r="B520" s="5" t="s">
        <v>2466</v>
      </c>
      <c r="C520" s="5" t="s">
        <v>1181</v>
      </c>
      <c r="D520" s="5" t="n">
        <v>1</v>
      </c>
      <c r="E520" s="5" t="n">
        <v>0</v>
      </c>
      <c r="F520" s="5" t="n">
        <v>0</v>
      </c>
      <c r="G520" s="5" t="s">
        <v>2467</v>
      </c>
      <c r="H520" s="5" t="s">
        <v>506</v>
      </c>
    </row>
    <row r="521" customFormat="false" ht="15" hidden="false" customHeight="false" outlineLevel="0" collapsed="false">
      <c r="A521" s="5" t="n">
        <v>520</v>
      </c>
      <c r="B521" s="5" t="s">
        <v>2468</v>
      </c>
      <c r="C521" s="5" t="s">
        <v>1181</v>
      </c>
      <c r="D521" s="5" t="n">
        <v>1</v>
      </c>
      <c r="E521" s="5" t="n">
        <v>0</v>
      </c>
      <c r="F521" s="5" t="n">
        <v>0</v>
      </c>
      <c r="G521" s="5" t="s">
        <v>2469</v>
      </c>
      <c r="H521" s="5" t="s">
        <v>640</v>
      </c>
    </row>
    <row r="522" customFormat="false" ht="15" hidden="false" customHeight="false" outlineLevel="0" collapsed="false">
      <c r="A522" s="5" t="n">
        <v>521</v>
      </c>
      <c r="B522" s="5" t="s">
        <v>2470</v>
      </c>
      <c r="C522" s="5" t="s">
        <v>1181</v>
      </c>
      <c r="D522" s="5" t="n">
        <v>1</v>
      </c>
      <c r="E522" s="5" t="n">
        <v>0</v>
      </c>
      <c r="F522" s="5" t="n">
        <v>0</v>
      </c>
      <c r="G522" s="5" t="s">
        <v>2471</v>
      </c>
      <c r="H522" s="5" t="s">
        <v>424</v>
      </c>
    </row>
    <row r="523" customFormat="false" ht="15" hidden="false" customHeight="false" outlineLevel="0" collapsed="false">
      <c r="A523" s="5" t="n">
        <v>522</v>
      </c>
      <c r="B523" s="5" t="s">
        <v>2472</v>
      </c>
      <c r="C523" s="5" t="s">
        <v>1176</v>
      </c>
      <c r="D523" s="5" t="n">
        <v>1</v>
      </c>
      <c r="E523" s="5" t="n">
        <v>0</v>
      </c>
      <c r="F523" s="5" t="n">
        <v>0</v>
      </c>
      <c r="G523" s="5" t="s">
        <v>2473</v>
      </c>
      <c r="H523" s="5" t="s">
        <v>592</v>
      </c>
    </row>
    <row r="524" customFormat="false" ht="15" hidden="false" customHeight="false" outlineLevel="0" collapsed="false">
      <c r="A524" s="5" t="n">
        <v>523</v>
      </c>
      <c r="B524" s="5" t="s">
        <v>2474</v>
      </c>
      <c r="C524" s="5" t="s">
        <v>1181</v>
      </c>
      <c r="D524" s="5" t="n">
        <v>1</v>
      </c>
      <c r="E524" s="5" t="n">
        <v>0</v>
      </c>
      <c r="F524" s="5" t="n">
        <v>0</v>
      </c>
      <c r="G524" s="5" t="s">
        <v>2475</v>
      </c>
      <c r="H524" s="5" t="s">
        <v>576</v>
      </c>
    </row>
    <row r="525" customFormat="false" ht="15" hidden="false" customHeight="false" outlineLevel="0" collapsed="false">
      <c r="A525" s="5" t="n">
        <v>524</v>
      </c>
      <c r="B525" s="5" t="s">
        <v>2476</v>
      </c>
      <c r="C525" s="5" t="s">
        <v>1181</v>
      </c>
      <c r="D525" s="5" t="n">
        <v>1</v>
      </c>
      <c r="E525" s="5" t="n">
        <v>0</v>
      </c>
      <c r="F525" s="5" t="n">
        <v>0</v>
      </c>
      <c r="G525" s="5" t="s">
        <v>2477</v>
      </c>
      <c r="H525" s="5" t="s">
        <v>998</v>
      </c>
    </row>
    <row r="526" customFormat="false" ht="15" hidden="false" customHeight="false" outlineLevel="0" collapsed="false">
      <c r="A526" s="5" t="n">
        <v>525</v>
      </c>
      <c r="B526" s="5" t="s">
        <v>2478</v>
      </c>
      <c r="C526" s="5" t="s">
        <v>1181</v>
      </c>
      <c r="D526" s="5" t="n">
        <v>1</v>
      </c>
      <c r="E526" s="5" t="n">
        <v>0</v>
      </c>
      <c r="F526" s="5" t="n">
        <v>0</v>
      </c>
      <c r="G526" s="5" t="s">
        <v>2479</v>
      </c>
      <c r="H526" s="5" t="s">
        <v>981</v>
      </c>
    </row>
    <row r="527" customFormat="false" ht="15" hidden="false" customHeight="false" outlineLevel="0" collapsed="false">
      <c r="A527" s="5" t="n">
        <v>526</v>
      </c>
      <c r="B527" s="5" t="s">
        <v>653</v>
      </c>
      <c r="C527" s="5" t="s">
        <v>1181</v>
      </c>
      <c r="D527" s="5" t="n">
        <v>1</v>
      </c>
      <c r="E527" s="5" t="n">
        <v>0</v>
      </c>
      <c r="F527" s="5" t="n">
        <v>0</v>
      </c>
      <c r="G527" s="5" t="s">
        <v>2480</v>
      </c>
      <c r="H527" s="5" t="s">
        <v>652</v>
      </c>
    </row>
    <row r="528" customFormat="false" ht="15" hidden="false" customHeight="false" outlineLevel="0" collapsed="false">
      <c r="A528" s="5" t="n">
        <v>527</v>
      </c>
      <c r="B528" s="5" t="s">
        <v>2481</v>
      </c>
      <c r="C528" s="5" t="s">
        <v>1181</v>
      </c>
      <c r="D528" s="5" t="n">
        <v>1</v>
      </c>
      <c r="E528" s="5" t="n">
        <v>0</v>
      </c>
      <c r="F528" s="5" t="n">
        <v>0</v>
      </c>
      <c r="G528" s="5" t="s">
        <v>2482</v>
      </c>
      <c r="H528" s="5" t="s">
        <v>728</v>
      </c>
    </row>
    <row r="529" customFormat="false" ht="15" hidden="false" customHeight="false" outlineLevel="0" collapsed="false">
      <c r="A529" s="5" t="n">
        <v>528</v>
      </c>
      <c r="B529" s="5" t="s">
        <v>2483</v>
      </c>
      <c r="C529" s="5" t="s">
        <v>1176</v>
      </c>
      <c r="D529" s="5" t="n">
        <v>1</v>
      </c>
      <c r="E529" s="5" t="n">
        <v>0</v>
      </c>
      <c r="F529" s="5" t="n">
        <v>0</v>
      </c>
      <c r="G529" s="5" t="s">
        <v>2484</v>
      </c>
      <c r="H529" s="5" t="s">
        <v>691</v>
      </c>
    </row>
    <row r="530" customFormat="false" ht="15" hidden="false" customHeight="false" outlineLevel="0" collapsed="false">
      <c r="A530" s="5" t="n">
        <v>529</v>
      </c>
      <c r="B530" s="5" t="s">
        <v>2485</v>
      </c>
      <c r="C530" s="5" t="s">
        <v>1176</v>
      </c>
      <c r="D530" s="5" t="n">
        <v>1</v>
      </c>
      <c r="E530" s="5" t="n">
        <v>0</v>
      </c>
      <c r="F530" s="5" t="n">
        <v>0</v>
      </c>
      <c r="G530" s="5" t="s">
        <v>2486</v>
      </c>
      <c r="H530" s="5" t="s">
        <v>630</v>
      </c>
    </row>
    <row r="531" customFormat="false" ht="15" hidden="false" customHeight="false" outlineLevel="0" collapsed="false">
      <c r="A531" s="5" t="n">
        <v>530</v>
      </c>
      <c r="B531" s="5" t="s">
        <v>910</v>
      </c>
      <c r="C531" s="5" t="s">
        <v>1181</v>
      </c>
      <c r="D531" s="5" t="n">
        <v>1</v>
      </c>
      <c r="E531" s="5" t="n">
        <v>0</v>
      </c>
      <c r="F531" s="5" t="n">
        <v>0</v>
      </c>
      <c r="G531" s="5" t="s">
        <v>2487</v>
      </c>
      <c r="H531" s="5" t="s">
        <v>909</v>
      </c>
    </row>
    <row r="532" customFormat="false" ht="15" hidden="false" customHeight="false" outlineLevel="0" collapsed="false">
      <c r="A532" s="5" t="n">
        <v>531</v>
      </c>
      <c r="B532" s="5" t="s">
        <v>584</v>
      </c>
      <c r="C532" s="5" t="s">
        <v>1176</v>
      </c>
      <c r="D532" s="5" t="n">
        <v>1</v>
      </c>
      <c r="E532" s="5" t="n">
        <v>0</v>
      </c>
      <c r="F532" s="5" t="n">
        <v>0</v>
      </c>
      <c r="G532" s="5" t="s">
        <v>2488</v>
      </c>
      <c r="H532" s="5" t="s">
        <v>583</v>
      </c>
    </row>
    <row r="533" customFormat="false" ht="15" hidden="false" customHeight="false" outlineLevel="0" collapsed="false">
      <c r="A533" s="5" t="n">
        <v>532</v>
      </c>
      <c r="B533" s="5" t="s">
        <v>648</v>
      </c>
      <c r="C533" s="5" t="s">
        <v>1181</v>
      </c>
      <c r="D533" s="5" t="n">
        <v>1</v>
      </c>
      <c r="E533" s="5" t="n">
        <v>0</v>
      </c>
      <c r="F533" s="5" t="n">
        <v>0</v>
      </c>
      <c r="G533" s="5" t="s">
        <v>2489</v>
      </c>
      <c r="H533" s="5" t="s">
        <v>647</v>
      </c>
    </row>
    <row r="534" customFormat="false" ht="15" hidden="false" customHeight="false" outlineLevel="0" collapsed="false">
      <c r="A534" s="5" t="n">
        <v>533</v>
      </c>
      <c r="B534" s="5" t="s">
        <v>2490</v>
      </c>
      <c r="C534" s="5" t="s">
        <v>1181</v>
      </c>
      <c r="D534" s="5" t="n">
        <v>1</v>
      </c>
      <c r="E534" s="5" t="n">
        <v>0</v>
      </c>
      <c r="F534" s="5" t="n">
        <v>0</v>
      </c>
      <c r="G534" s="5" t="s">
        <v>2491</v>
      </c>
      <c r="H534" s="5" t="s">
        <v>810</v>
      </c>
    </row>
    <row r="535" customFormat="false" ht="15" hidden="false" customHeight="false" outlineLevel="0" collapsed="false">
      <c r="A535" s="5" t="n">
        <v>534</v>
      </c>
      <c r="B535" s="5" t="s">
        <v>2492</v>
      </c>
      <c r="C535" s="5" t="s">
        <v>1181</v>
      </c>
      <c r="D535" s="5" t="n">
        <v>1</v>
      </c>
      <c r="E535" s="5" t="n">
        <v>0</v>
      </c>
      <c r="F535" s="5" t="n">
        <v>0</v>
      </c>
      <c r="G535" s="5" t="s">
        <v>2493</v>
      </c>
      <c r="H535" s="5" t="s">
        <v>810</v>
      </c>
    </row>
    <row r="536" customFormat="false" ht="15" hidden="false" customHeight="false" outlineLevel="0" collapsed="false">
      <c r="A536" s="5" t="n">
        <v>535</v>
      </c>
      <c r="B536" s="5" t="s">
        <v>2494</v>
      </c>
      <c r="C536" s="5" t="s">
        <v>1181</v>
      </c>
      <c r="D536" s="5" t="n">
        <v>1</v>
      </c>
      <c r="E536" s="5" t="n">
        <v>0</v>
      </c>
      <c r="F536" s="5" t="n">
        <v>0</v>
      </c>
      <c r="G536" s="5" t="s">
        <v>2495</v>
      </c>
      <c r="H536" s="5" t="s">
        <v>698</v>
      </c>
    </row>
    <row r="537" customFormat="false" ht="15" hidden="false" customHeight="false" outlineLevel="0" collapsed="false">
      <c r="A537" s="5" t="n">
        <v>536</v>
      </c>
      <c r="B537" s="5" t="s">
        <v>2496</v>
      </c>
      <c r="C537" s="5" t="s">
        <v>1181</v>
      </c>
      <c r="D537" s="5" t="n">
        <v>1</v>
      </c>
      <c r="E537" s="5" t="n">
        <v>0</v>
      </c>
      <c r="F537" s="5" t="n">
        <v>0</v>
      </c>
      <c r="G537" s="5" t="s">
        <v>2497</v>
      </c>
      <c r="H537" s="5" t="s">
        <v>728</v>
      </c>
    </row>
    <row r="538" customFormat="false" ht="15" hidden="false" customHeight="false" outlineLevel="0" collapsed="false">
      <c r="A538" s="5" t="n">
        <v>537</v>
      </c>
      <c r="B538" s="5" t="s">
        <v>2498</v>
      </c>
      <c r="C538" s="5" t="s">
        <v>1181</v>
      </c>
      <c r="D538" s="5" t="n">
        <v>1</v>
      </c>
      <c r="E538" s="5" t="n">
        <v>0</v>
      </c>
      <c r="F538" s="5" t="n">
        <v>0</v>
      </c>
      <c r="G538" s="5" t="s">
        <v>2499</v>
      </c>
      <c r="H538" s="5" t="s">
        <v>726</v>
      </c>
    </row>
    <row r="539" customFormat="false" ht="15" hidden="false" customHeight="false" outlineLevel="0" collapsed="false">
      <c r="A539" s="5" t="n">
        <v>538</v>
      </c>
      <c r="B539" s="5" t="s">
        <v>2500</v>
      </c>
      <c r="C539" s="5" t="s">
        <v>1181</v>
      </c>
      <c r="D539" s="5" t="n">
        <v>1</v>
      </c>
      <c r="E539" s="5" t="n">
        <v>0</v>
      </c>
      <c r="F539" s="5" t="n">
        <v>0</v>
      </c>
      <c r="G539" s="5" t="s">
        <v>2501</v>
      </c>
      <c r="H539" s="5" t="s">
        <v>345</v>
      </c>
    </row>
    <row r="540" customFormat="false" ht="15" hidden="false" customHeight="false" outlineLevel="0" collapsed="false">
      <c r="A540" s="5" t="n">
        <v>539</v>
      </c>
      <c r="B540" s="5" t="s">
        <v>2502</v>
      </c>
      <c r="C540" s="5" t="s">
        <v>1181</v>
      </c>
      <c r="D540" s="5" t="n">
        <v>1</v>
      </c>
      <c r="E540" s="5" t="n">
        <v>0</v>
      </c>
      <c r="F540" s="5" t="n">
        <v>0</v>
      </c>
      <c r="G540" s="5" t="s">
        <v>2503</v>
      </c>
      <c r="H540" s="5" t="s">
        <v>426</v>
      </c>
    </row>
    <row r="541" customFormat="false" ht="15" hidden="false" customHeight="false" outlineLevel="0" collapsed="false">
      <c r="A541" s="5" t="n">
        <v>540</v>
      </c>
      <c r="B541" s="5" t="s">
        <v>2504</v>
      </c>
      <c r="C541" s="5" t="s">
        <v>1181</v>
      </c>
      <c r="D541" s="5" t="n">
        <v>1</v>
      </c>
      <c r="E541" s="5" t="n">
        <v>0</v>
      </c>
      <c r="F541" s="5" t="n">
        <v>0</v>
      </c>
      <c r="G541" s="5" t="s">
        <v>2505</v>
      </c>
      <c r="H541" s="5" t="s">
        <v>556</v>
      </c>
    </row>
    <row r="542" customFormat="false" ht="15" hidden="false" customHeight="false" outlineLevel="0" collapsed="false">
      <c r="A542" s="5" t="n">
        <v>541</v>
      </c>
      <c r="B542" s="5" t="s">
        <v>2506</v>
      </c>
      <c r="C542" s="5" t="s">
        <v>1181</v>
      </c>
      <c r="D542" s="5" t="n">
        <v>1</v>
      </c>
      <c r="E542" s="5" t="n">
        <v>0</v>
      </c>
      <c r="F542" s="5" t="n">
        <v>0</v>
      </c>
      <c r="G542" s="5" t="s">
        <v>2507</v>
      </c>
      <c r="H542" s="5" t="s">
        <v>726</v>
      </c>
    </row>
    <row r="543" customFormat="false" ht="15" hidden="false" customHeight="false" outlineLevel="0" collapsed="false">
      <c r="A543" s="5" t="n">
        <v>542</v>
      </c>
      <c r="B543" s="5" t="s">
        <v>2508</v>
      </c>
      <c r="C543" s="5" t="s">
        <v>1181</v>
      </c>
      <c r="D543" s="5" t="n">
        <v>1</v>
      </c>
      <c r="E543" s="5" t="n">
        <v>0</v>
      </c>
      <c r="F543" s="5" t="n">
        <v>0</v>
      </c>
      <c r="G543" s="5" t="s">
        <v>2509</v>
      </c>
      <c r="H543" s="5" t="s">
        <v>221</v>
      </c>
    </row>
    <row r="544" customFormat="false" ht="15" hidden="false" customHeight="false" outlineLevel="0" collapsed="false">
      <c r="A544" s="5" t="n">
        <v>543</v>
      </c>
      <c r="B544" s="5" t="s">
        <v>434</v>
      </c>
      <c r="C544" s="5" t="s">
        <v>1181</v>
      </c>
      <c r="D544" s="5" t="n">
        <v>1</v>
      </c>
      <c r="E544" s="5" t="n">
        <v>0</v>
      </c>
      <c r="F544" s="5" t="n">
        <v>0</v>
      </c>
      <c r="G544" s="5" t="s">
        <v>2510</v>
      </c>
      <c r="H544" s="5" t="s">
        <v>433</v>
      </c>
    </row>
    <row r="545" customFormat="false" ht="15" hidden="false" customHeight="false" outlineLevel="0" collapsed="false">
      <c r="A545" s="5" t="n">
        <v>544</v>
      </c>
      <c r="B545" s="5" t="s">
        <v>2511</v>
      </c>
      <c r="C545" s="5" t="s">
        <v>1176</v>
      </c>
      <c r="D545" s="5" t="n">
        <v>1</v>
      </c>
      <c r="E545" s="5" t="n">
        <v>0</v>
      </c>
      <c r="F545" s="5" t="n">
        <v>0</v>
      </c>
      <c r="G545" s="5" t="s">
        <v>2512</v>
      </c>
      <c r="H545" s="5" t="s">
        <v>433</v>
      </c>
    </row>
    <row r="546" customFormat="false" ht="15" hidden="false" customHeight="false" outlineLevel="0" collapsed="false">
      <c r="A546" s="5" t="n">
        <v>545</v>
      </c>
      <c r="B546" s="5" t="s">
        <v>2513</v>
      </c>
      <c r="C546" s="5" t="s">
        <v>1181</v>
      </c>
      <c r="D546" s="5" t="n">
        <v>1</v>
      </c>
      <c r="E546" s="5" t="n">
        <v>0</v>
      </c>
      <c r="F546" s="5" t="n">
        <v>0</v>
      </c>
      <c r="G546" s="5" t="s">
        <v>2514</v>
      </c>
      <c r="H546" s="5" t="s">
        <v>1133</v>
      </c>
    </row>
    <row r="547" customFormat="false" ht="15" hidden="false" customHeight="false" outlineLevel="0" collapsed="false">
      <c r="A547" s="5" t="n">
        <v>546</v>
      </c>
      <c r="B547" s="5" t="s">
        <v>2515</v>
      </c>
      <c r="C547" s="5" t="s">
        <v>1181</v>
      </c>
      <c r="D547" s="5" t="n">
        <v>1</v>
      </c>
      <c r="E547" s="5" t="n">
        <v>0</v>
      </c>
      <c r="F547" s="5" t="n">
        <v>0</v>
      </c>
      <c r="G547" s="5" t="s">
        <v>2516</v>
      </c>
      <c r="H547" s="5" t="s">
        <v>1133</v>
      </c>
    </row>
    <row r="548" customFormat="false" ht="15" hidden="false" customHeight="false" outlineLevel="0" collapsed="false">
      <c r="A548" s="5" t="n">
        <v>547</v>
      </c>
      <c r="B548" s="5" t="s">
        <v>2517</v>
      </c>
      <c r="C548" s="5" t="s">
        <v>1181</v>
      </c>
      <c r="D548" s="5" t="n">
        <v>1</v>
      </c>
      <c r="E548" s="5" t="n">
        <v>0</v>
      </c>
      <c r="F548" s="5" t="n">
        <v>0</v>
      </c>
      <c r="G548" s="5" t="s">
        <v>2518</v>
      </c>
      <c r="H548" s="5" t="s">
        <v>1087</v>
      </c>
    </row>
    <row r="549" customFormat="false" ht="15" hidden="false" customHeight="false" outlineLevel="0" collapsed="false">
      <c r="A549" s="5" t="n">
        <v>548</v>
      </c>
      <c r="B549" s="5" t="s">
        <v>2519</v>
      </c>
      <c r="C549" s="5" t="s">
        <v>1181</v>
      </c>
      <c r="D549" s="5" t="n">
        <v>1</v>
      </c>
      <c r="E549" s="5" t="n">
        <v>0</v>
      </c>
      <c r="F549" s="5" t="n">
        <v>0</v>
      </c>
      <c r="G549" s="5" t="s">
        <v>2520</v>
      </c>
      <c r="H549" s="5" t="s">
        <v>624</v>
      </c>
    </row>
    <row r="550" customFormat="false" ht="15" hidden="false" customHeight="false" outlineLevel="0" collapsed="false">
      <c r="A550" s="5" t="n">
        <v>549</v>
      </c>
      <c r="B550" s="5" t="s">
        <v>740</v>
      </c>
      <c r="C550" s="5" t="s">
        <v>1181</v>
      </c>
      <c r="D550" s="5" t="n">
        <v>1</v>
      </c>
      <c r="E550" s="5" t="n">
        <v>0</v>
      </c>
      <c r="F550" s="5" t="n">
        <v>0</v>
      </c>
      <c r="G550" s="5" t="s">
        <v>2521</v>
      </c>
      <c r="H550" s="5" t="s">
        <v>739</v>
      </c>
    </row>
    <row r="551" customFormat="false" ht="15" hidden="false" customHeight="false" outlineLevel="0" collapsed="false">
      <c r="A551" s="5" t="n">
        <v>550</v>
      </c>
      <c r="B551" s="5" t="s">
        <v>2522</v>
      </c>
      <c r="C551" s="5" t="s">
        <v>1181</v>
      </c>
      <c r="D551" s="5" t="n">
        <v>1</v>
      </c>
      <c r="E551" s="5" t="n">
        <v>0</v>
      </c>
      <c r="F551" s="5" t="n">
        <v>0</v>
      </c>
      <c r="G551" s="5" t="s">
        <v>2523</v>
      </c>
      <c r="H551" s="5" t="s">
        <v>578</v>
      </c>
    </row>
    <row r="552" customFormat="false" ht="15" hidden="false" customHeight="false" outlineLevel="0" collapsed="false">
      <c r="A552" s="5" t="n">
        <v>551</v>
      </c>
      <c r="B552" s="5" t="s">
        <v>2524</v>
      </c>
      <c r="C552" s="5" t="s">
        <v>1181</v>
      </c>
      <c r="D552" s="5" t="n">
        <v>1</v>
      </c>
      <c r="E552" s="5" t="n">
        <v>0</v>
      </c>
      <c r="F552" s="5" t="n">
        <v>0</v>
      </c>
      <c r="G552" s="5" t="s">
        <v>2525</v>
      </c>
      <c r="H552" s="5" t="s">
        <v>700</v>
      </c>
    </row>
    <row r="553" customFormat="false" ht="15" hidden="false" customHeight="false" outlineLevel="0" collapsed="false">
      <c r="A553" s="5" t="n">
        <v>552</v>
      </c>
      <c r="B553" s="5" t="s">
        <v>2526</v>
      </c>
      <c r="C553" s="5" t="s">
        <v>1181</v>
      </c>
      <c r="D553" s="5" t="n">
        <v>1</v>
      </c>
      <c r="E553" s="5" t="n">
        <v>0</v>
      </c>
      <c r="F553" s="5" t="n">
        <v>0</v>
      </c>
      <c r="G553" s="5" t="s">
        <v>2527</v>
      </c>
      <c r="H553" s="5" t="s">
        <v>972</v>
      </c>
    </row>
    <row r="554" customFormat="false" ht="15" hidden="false" customHeight="false" outlineLevel="0" collapsed="false">
      <c r="A554" s="5" t="n">
        <v>553</v>
      </c>
      <c r="B554" s="5" t="s">
        <v>2528</v>
      </c>
      <c r="C554" s="5" t="s">
        <v>1181</v>
      </c>
      <c r="D554" s="5" t="n">
        <v>1</v>
      </c>
      <c r="E554" s="5" t="n">
        <v>0</v>
      </c>
      <c r="F554" s="5" t="n">
        <v>0</v>
      </c>
      <c r="G554" s="5" t="s">
        <v>2529</v>
      </c>
      <c r="H554" s="5" t="s">
        <v>53</v>
      </c>
    </row>
    <row r="555" customFormat="false" ht="15" hidden="false" customHeight="false" outlineLevel="0" collapsed="false">
      <c r="A555" s="5" t="n">
        <v>554</v>
      </c>
      <c r="B555" s="5" t="s">
        <v>2530</v>
      </c>
      <c r="C555" s="5" t="s">
        <v>1181</v>
      </c>
      <c r="D555" s="5" t="n">
        <v>1</v>
      </c>
      <c r="E555" s="5" t="n">
        <v>0</v>
      </c>
      <c r="F555" s="5" t="n">
        <v>0</v>
      </c>
      <c r="G555" s="5" t="s">
        <v>2531</v>
      </c>
      <c r="H555" s="5" t="s">
        <v>518</v>
      </c>
    </row>
    <row r="556" customFormat="false" ht="15" hidden="false" customHeight="false" outlineLevel="0" collapsed="false">
      <c r="A556" s="5" t="n">
        <v>555</v>
      </c>
      <c r="B556" s="5" t="s">
        <v>2532</v>
      </c>
      <c r="C556" s="5" t="s">
        <v>1176</v>
      </c>
      <c r="D556" s="5" t="n">
        <v>1</v>
      </c>
      <c r="E556" s="5" t="n">
        <v>0</v>
      </c>
      <c r="F556" s="5" t="n">
        <v>0</v>
      </c>
      <c r="G556" s="5" t="s">
        <v>2533</v>
      </c>
      <c r="H556" s="5" t="s">
        <v>1061</v>
      </c>
    </row>
    <row r="557" customFormat="false" ht="15" hidden="false" customHeight="false" outlineLevel="0" collapsed="false">
      <c r="A557" s="5" t="n">
        <v>556</v>
      </c>
      <c r="B557" s="5" t="s">
        <v>2534</v>
      </c>
      <c r="C557" s="5" t="s">
        <v>1181</v>
      </c>
      <c r="D557" s="5" t="n">
        <v>1</v>
      </c>
      <c r="E557" s="5" t="n">
        <v>0</v>
      </c>
      <c r="F557" s="5" t="n">
        <v>0</v>
      </c>
      <c r="G557" s="5" t="s">
        <v>2535</v>
      </c>
      <c r="H557" s="5" t="s">
        <v>778</v>
      </c>
    </row>
    <row r="558" customFormat="false" ht="15" hidden="false" customHeight="false" outlineLevel="0" collapsed="false">
      <c r="A558" s="5" t="n">
        <v>557</v>
      </c>
      <c r="B558" s="5" t="s">
        <v>2536</v>
      </c>
      <c r="C558" s="5" t="s">
        <v>1181</v>
      </c>
      <c r="D558" s="5" t="n">
        <v>1</v>
      </c>
      <c r="E558" s="5" t="n">
        <v>0</v>
      </c>
      <c r="F558" s="5" t="n">
        <v>0</v>
      </c>
      <c r="G558" s="5" t="s">
        <v>2537</v>
      </c>
      <c r="H558" s="5" t="s">
        <v>804</v>
      </c>
    </row>
    <row r="559" customFormat="false" ht="15" hidden="false" customHeight="false" outlineLevel="0" collapsed="false">
      <c r="A559" s="5" t="n">
        <v>558</v>
      </c>
      <c r="B559" s="5" t="s">
        <v>651</v>
      </c>
      <c r="C559" s="5" t="s">
        <v>1181</v>
      </c>
      <c r="D559" s="5" t="n">
        <v>1</v>
      </c>
      <c r="E559" s="5" t="n">
        <v>0</v>
      </c>
      <c r="F559" s="5" t="n">
        <v>0</v>
      </c>
      <c r="G559" s="5" t="s">
        <v>2538</v>
      </c>
      <c r="H559" s="5" t="s">
        <v>650</v>
      </c>
    </row>
    <row r="560" customFormat="false" ht="15" hidden="false" customHeight="false" outlineLevel="0" collapsed="false">
      <c r="A560" s="5" t="n">
        <v>559</v>
      </c>
      <c r="B560" s="5" t="s">
        <v>2539</v>
      </c>
      <c r="C560" s="5" t="s">
        <v>1181</v>
      </c>
      <c r="D560" s="5" t="n">
        <v>1</v>
      </c>
      <c r="E560" s="5" t="n">
        <v>0</v>
      </c>
      <c r="F560" s="5" t="n">
        <v>0</v>
      </c>
      <c r="G560" s="5" t="s">
        <v>2540</v>
      </c>
      <c r="H560" s="5" t="s">
        <v>632</v>
      </c>
    </row>
    <row r="561" customFormat="false" ht="15" hidden="false" customHeight="false" outlineLevel="0" collapsed="false">
      <c r="A561" s="5" t="n">
        <v>560</v>
      </c>
      <c r="B561" s="5" t="s">
        <v>2541</v>
      </c>
      <c r="C561" s="5" t="s">
        <v>1181</v>
      </c>
      <c r="D561" s="5" t="n">
        <v>1</v>
      </c>
      <c r="E561" s="5" t="n">
        <v>0</v>
      </c>
      <c r="F561" s="5" t="n">
        <v>0</v>
      </c>
      <c r="G561" s="5" t="s">
        <v>2542</v>
      </c>
      <c r="H561" s="5" t="s">
        <v>640</v>
      </c>
    </row>
    <row r="562" customFormat="false" ht="15" hidden="false" customHeight="false" outlineLevel="0" collapsed="false">
      <c r="A562" s="5" t="n">
        <v>561</v>
      </c>
      <c r="B562" s="5" t="s">
        <v>2543</v>
      </c>
      <c r="C562" s="5" t="s">
        <v>1181</v>
      </c>
      <c r="D562" s="5" t="n">
        <v>1</v>
      </c>
      <c r="E562" s="5" t="n">
        <v>0</v>
      </c>
      <c r="F562" s="5" t="n">
        <v>0</v>
      </c>
      <c r="G562" s="5" t="s">
        <v>2544</v>
      </c>
      <c r="H562" s="5" t="s">
        <v>94</v>
      </c>
    </row>
    <row r="563" customFormat="false" ht="15" hidden="false" customHeight="false" outlineLevel="0" collapsed="false">
      <c r="A563" s="5" t="n">
        <v>562</v>
      </c>
      <c r="B563" s="5" t="s">
        <v>2545</v>
      </c>
      <c r="C563" s="5" t="s">
        <v>1181</v>
      </c>
      <c r="D563" s="5" t="n">
        <v>1</v>
      </c>
      <c r="E563" s="5" t="n">
        <v>0</v>
      </c>
      <c r="F563" s="5" t="n">
        <v>0</v>
      </c>
      <c r="G563" s="5" t="s">
        <v>2546</v>
      </c>
      <c r="H563" s="5" t="s">
        <v>767</v>
      </c>
    </row>
    <row r="564" customFormat="false" ht="15" hidden="false" customHeight="false" outlineLevel="0" collapsed="false">
      <c r="A564" s="5" t="n">
        <v>563</v>
      </c>
      <c r="B564" s="5" t="s">
        <v>2547</v>
      </c>
      <c r="C564" s="5" t="s">
        <v>1181</v>
      </c>
      <c r="D564" s="5" t="n">
        <v>1</v>
      </c>
      <c r="E564" s="5" t="n">
        <v>0</v>
      </c>
      <c r="F564" s="5" t="n">
        <v>0</v>
      </c>
      <c r="G564" s="5" t="s">
        <v>2548</v>
      </c>
      <c r="H564" s="5" t="s">
        <v>642</v>
      </c>
    </row>
    <row r="565" customFormat="false" ht="15" hidden="false" customHeight="false" outlineLevel="0" collapsed="false">
      <c r="A565" s="5" t="n">
        <v>564</v>
      </c>
      <c r="B565" s="5" t="s">
        <v>2549</v>
      </c>
      <c r="C565" s="5" t="s">
        <v>1181</v>
      </c>
      <c r="D565" s="5" t="n">
        <v>1</v>
      </c>
      <c r="E565" s="5" t="n">
        <v>0</v>
      </c>
      <c r="F565" s="5" t="n">
        <v>0</v>
      </c>
      <c r="G565" s="5" t="s">
        <v>2550</v>
      </c>
      <c r="H565" s="5" t="s">
        <v>684</v>
      </c>
    </row>
    <row r="566" customFormat="false" ht="15" hidden="false" customHeight="false" outlineLevel="0" collapsed="false">
      <c r="A566" s="5" t="n">
        <v>565</v>
      </c>
      <c r="B566" s="5" t="s">
        <v>2551</v>
      </c>
      <c r="C566" s="5" t="s">
        <v>1181</v>
      </c>
      <c r="D566" s="5" t="n">
        <v>1</v>
      </c>
      <c r="E566" s="5" t="n">
        <v>0</v>
      </c>
      <c r="F566" s="5" t="n">
        <v>0</v>
      </c>
      <c r="G566" s="5" t="s">
        <v>2552</v>
      </c>
      <c r="H566" s="5" t="s">
        <v>826</v>
      </c>
    </row>
    <row r="567" customFormat="false" ht="15" hidden="false" customHeight="false" outlineLevel="0" collapsed="false">
      <c r="A567" s="5" t="n">
        <v>566</v>
      </c>
      <c r="B567" s="5" t="s">
        <v>2553</v>
      </c>
      <c r="C567" s="5" t="s">
        <v>1181</v>
      </c>
      <c r="D567" s="5" t="n">
        <v>1</v>
      </c>
      <c r="E567" s="5" t="n">
        <v>0</v>
      </c>
      <c r="F567" s="5" t="n">
        <v>0</v>
      </c>
      <c r="G567" s="5" t="s">
        <v>2554</v>
      </c>
      <c r="H567" s="5" t="s">
        <v>744</v>
      </c>
    </row>
    <row r="568" customFormat="false" ht="15" hidden="false" customHeight="false" outlineLevel="0" collapsed="false">
      <c r="A568" s="5" t="n">
        <v>567</v>
      </c>
      <c r="B568" s="5" t="s">
        <v>2555</v>
      </c>
      <c r="C568" s="5" t="s">
        <v>1181</v>
      </c>
      <c r="D568" s="5" t="n">
        <v>1</v>
      </c>
      <c r="E568" s="5" t="n">
        <v>0</v>
      </c>
      <c r="F568" s="5" t="n">
        <v>0</v>
      </c>
      <c r="G568" s="5" t="s">
        <v>2556</v>
      </c>
      <c r="H568" s="5" t="s">
        <v>117</v>
      </c>
    </row>
    <row r="569" customFormat="false" ht="15" hidden="false" customHeight="false" outlineLevel="0" collapsed="false">
      <c r="A569" s="5" t="n">
        <v>568</v>
      </c>
      <c r="B569" s="5" t="s">
        <v>2557</v>
      </c>
      <c r="C569" s="5" t="s">
        <v>1181</v>
      </c>
      <c r="D569" s="5" t="n">
        <v>1</v>
      </c>
      <c r="E569" s="5" t="n">
        <v>0</v>
      </c>
      <c r="F569" s="5" t="n">
        <v>0</v>
      </c>
      <c r="G569" s="5" t="s">
        <v>2558</v>
      </c>
      <c r="H569" s="5" t="s">
        <v>1069</v>
      </c>
    </row>
    <row r="570" customFormat="false" ht="15" hidden="false" customHeight="false" outlineLevel="0" collapsed="false">
      <c r="A570" s="5" t="n">
        <v>569</v>
      </c>
      <c r="B570" s="5" t="s">
        <v>2559</v>
      </c>
      <c r="C570" s="5" t="s">
        <v>1176</v>
      </c>
      <c r="D570" s="5" t="n">
        <v>1</v>
      </c>
      <c r="E570" s="5" t="n">
        <v>0</v>
      </c>
      <c r="F570" s="5" t="n">
        <v>0</v>
      </c>
      <c r="G570" s="5" t="s">
        <v>2560</v>
      </c>
      <c r="H570" s="5" t="s">
        <v>1069</v>
      </c>
    </row>
    <row r="571" customFormat="false" ht="15" hidden="false" customHeight="false" outlineLevel="0" collapsed="false">
      <c r="A571" s="5" t="n">
        <v>570</v>
      </c>
      <c r="B571" s="5" t="s">
        <v>2561</v>
      </c>
      <c r="C571" s="5" t="s">
        <v>1181</v>
      </c>
      <c r="D571" s="5" t="n">
        <v>1</v>
      </c>
      <c r="E571" s="5" t="n">
        <v>0</v>
      </c>
      <c r="F571" s="5" t="n">
        <v>0</v>
      </c>
      <c r="G571" s="5" t="s">
        <v>2562</v>
      </c>
      <c r="H571" s="5" t="s">
        <v>724</v>
      </c>
    </row>
    <row r="572" customFormat="false" ht="15" hidden="false" customHeight="false" outlineLevel="0" collapsed="false">
      <c r="A572" s="5" t="n">
        <v>571</v>
      </c>
      <c r="B572" s="5" t="s">
        <v>413</v>
      </c>
      <c r="C572" s="5" t="s">
        <v>1181</v>
      </c>
      <c r="D572" s="5" t="n">
        <v>1</v>
      </c>
      <c r="E572" s="5" t="n">
        <v>0</v>
      </c>
      <c r="F572" s="5" t="n">
        <v>0</v>
      </c>
      <c r="G572" s="5" t="s">
        <v>2563</v>
      </c>
      <c r="H572" s="5" t="s">
        <v>412</v>
      </c>
    </row>
    <row r="573" customFormat="false" ht="15" hidden="false" customHeight="false" outlineLevel="0" collapsed="false">
      <c r="A573" s="5" t="n">
        <v>572</v>
      </c>
      <c r="B573" s="5" t="s">
        <v>2564</v>
      </c>
      <c r="C573" s="5" t="s">
        <v>1181</v>
      </c>
      <c r="D573" s="5" t="n">
        <v>1</v>
      </c>
      <c r="E573" s="5" t="n">
        <v>0</v>
      </c>
      <c r="F573" s="5" t="n">
        <v>0</v>
      </c>
      <c r="G573" s="5" t="s">
        <v>2565</v>
      </c>
      <c r="H573" s="5" t="s">
        <v>962</v>
      </c>
    </row>
    <row r="574" customFormat="false" ht="15" hidden="false" customHeight="false" outlineLevel="0" collapsed="false">
      <c r="A574" s="5" t="n">
        <v>573</v>
      </c>
      <c r="B574" s="5" t="s">
        <v>2566</v>
      </c>
      <c r="C574" s="5" t="s">
        <v>1181</v>
      </c>
      <c r="D574" s="5" t="n">
        <v>1</v>
      </c>
      <c r="E574" s="5" t="n">
        <v>0</v>
      </c>
      <c r="F574" s="5" t="n">
        <v>0</v>
      </c>
      <c r="G574" s="5" t="s">
        <v>2567</v>
      </c>
      <c r="H574" s="5" t="s">
        <v>65</v>
      </c>
    </row>
    <row r="575" customFormat="false" ht="15" hidden="false" customHeight="false" outlineLevel="0" collapsed="false">
      <c r="A575" s="5" t="n">
        <v>574</v>
      </c>
      <c r="B575" s="5" t="s">
        <v>2568</v>
      </c>
      <c r="C575" s="5" t="s">
        <v>1181</v>
      </c>
      <c r="D575" s="5" t="n">
        <v>1</v>
      </c>
      <c r="E575" s="5" t="n">
        <v>0</v>
      </c>
      <c r="F575" s="5" t="n">
        <v>0</v>
      </c>
      <c r="G575" s="5" t="s">
        <v>2569</v>
      </c>
      <c r="H575" s="5" t="s">
        <v>775</v>
      </c>
    </row>
    <row r="576" customFormat="false" ht="15" hidden="false" customHeight="false" outlineLevel="0" collapsed="false">
      <c r="A576" s="5" t="n">
        <v>575</v>
      </c>
      <c r="B576" s="5" t="s">
        <v>786</v>
      </c>
      <c r="C576" s="5" t="s">
        <v>1181</v>
      </c>
      <c r="D576" s="5" t="n">
        <v>1</v>
      </c>
      <c r="E576" s="5" t="n">
        <v>0</v>
      </c>
      <c r="F576" s="5" t="n">
        <v>0</v>
      </c>
      <c r="G576" s="5" t="s">
        <v>2570</v>
      </c>
      <c r="H576" s="5" t="s">
        <v>784</v>
      </c>
    </row>
    <row r="577" customFormat="false" ht="15" hidden="false" customHeight="false" outlineLevel="0" collapsed="false">
      <c r="A577" s="5" t="n">
        <v>576</v>
      </c>
      <c r="B577" s="5" t="s">
        <v>2571</v>
      </c>
      <c r="C577" s="5" t="s">
        <v>1181</v>
      </c>
      <c r="D577" s="5" t="n">
        <v>1</v>
      </c>
      <c r="E577" s="5" t="n">
        <v>0</v>
      </c>
      <c r="F577" s="5" t="n">
        <v>0</v>
      </c>
      <c r="G577" s="5" t="s">
        <v>2572</v>
      </c>
      <c r="H577" s="5" t="s">
        <v>698</v>
      </c>
    </row>
    <row r="578" customFormat="false" ht="15" hidden="false" customHeight="false" outlineLevel="0" collapsed="false">
      <c r="A578" s="5" t="n">
        <v>577</v>
      </c>
      <c r="B578" s="5" t="s">
        <v>210</v>
      </c>
      <c r="C578" s="5" t="s">
        <v>1181</v>
      </c>
      <c r="D578" s="5" t="n">
        <v>1</v>
      </c>
      <c r="E578" s="5" t="n">
        <v>0</v>
      </c>
      <c r="F578" s="5" t="n">
        <v>0</v>
      </c>
      <c r="G578" s="5" t="s">
        <v>2573</v>
      </c>
      <c r="H578" s="5" t="s">
        <v>209</v>
      </c>
    </row>
    <row r="579" customFormat="false" ht="15" hidden="false" customHeight="false" outlineLevel="0" collapsed="false">
      <c r="A579" s="5" t="n">
        <v>578</v>
      </c>
      <c r="B579" s="5" t="s">
        <v>2574</v>
      </c>
      <c r="C579" s="5" t="s">
        <v>1181</v>
      </c>
      <c r="D579" s="5" t="n">
        <v>1</v>
      </c>
      <c r="E579" s="5" t="n">
        <v>0</v>
      </c>
      <c r="F579" s="5" t="n">
        <v>0</v>
      </c>
      <c r="G579" s="5" t="s">
        <v>2575</v>
      </c>
      <c r="H579" s="5" t="s">
        <v>810</v>
      </c>
    </row>
    <row r="580" customFormat="false" ht="15" hidden="false" customHeight="false" outlineLevel="0" collapsed="false">
      <c r="A580" s="5" t="n">
        <v>579</v>
      </c>
      <c r="B580" s="5" t="s">
        <v>2576</v>
      </c>
      <c r="C580" s="5" t="s">
        <v>1181</v>
      </c>
      <c r="D580" s="5" t="n">
        <v>1</v>
      </c>
      <c r="E580" s="5" t="n">
        <v>0</v>
      </c>
      <c r="F580" s="5" t="n">
        <v>0</v>
      </c>
      <c r="G580" s="5" t="s">
        <v>2577</v>
      </c>
      <c r="H580" s="5" t="s">
        <v>728</v>
      </c>
    </row>
    <row r="581" customFormat="false" ht="15" hidden="false" customHeight="false" outlineLevel="0" collapsed="false">
      <c r="A581" s="5" t="n">
        <v>580</v>
      </c>
      <c r="B581" s="5" t="s">
        <v>709</v>
      </c>
      <c r="C581" s="5" t="s">
        <v>1181</v>
      </c>
      <c r="D581" s="5" t="n">
        <v>1</v>
      </c>
      <c r="E581" s="5" t="n">
        <v>0</v>
      </c>
      <c r="F581" s="5" t="n">
        <v>0</v>
      </c>
      <c r="G581" s="5" t="s">
        <v>2578</v>
      </c>
      <c r="H581" s="5" t="s">
        <v>708</v>
      </c>
    </row>
    <row r="582" customFormat="false" ht="15" hidden="false" customHeight="false" outlineLevel="0" collapsed="false">
      <c r="A582" s="5" t="n">
        <v>581</v>
      </c>
      <c r="B582" s="5" t="s">
        <v>2579</v>
      </c>
      <c r="C582" s="5" t="s">
        <v>1181</v>
      </c>
      <c r="D582" s="5" t="n">
        <v>1</v>
      </c>
      <c r="E582" s="5" t="n">
        <v>0</v>
      </c>
      <c r="F582" s="5" t="n">
        <v>0</v>
      </c>
      <c r="G582" s="5" t="s">
        <v>2580</v>
      </c>
      <c r="H582" s="5" t="s">
        <v>622</v>
      </c>
    </row>
    <row r="583" customFormat="false" ht="15" hidden="false" customHeight="false" outlineLevel="0" collapsed="false">
      <c r="A583" s="5" t="n">
        <v>582</v>
      </c>
      <c r="B583" s="5" t="s">
        <v>194</v>
      </c>
      <c r="C583" s="5" t="s">
        <v>1181</v>
      </c>
      <c r="D583" s="5" t="n">
        <v>1</v>
      </c>
      <c r="E583" s="5" t="n">
        <v>0</v>
      </c>
      <c r="F583" s="5" t="n">
        <v>0</v>
      </c>
      <c r="G583" s="5" t="s">
        <v>2581</v>
      </c>
      <c r="H583" s="5" t="s">
        <v>192</v>
      </c>
    </row>
    <row r="584" customFormat="false" ht="15" hidden="false" customHeight="false" outlineLevel="0" collapsed="false">
      <c r="A584" s="5" t="n">
        <v>583</v>
      </c>
      <c r="B584" s="5" t="s">
        <v>2582</v>
      </c>
      <c r="C584" s="5" t="s">
        <v>1181</v>
      </c>
      <c r="D584" s="5" t="n">
        <v>1</v>
      </c>
      <c r="E584" s="5" t="n">
        <v>0</v>
      </c>
      <c r="F584" s="5" t="n">
        <v>0</v>
      </c>
      <c r="G584" s="5" t="s">
        <v>2583</v>
      </c>
      <c r="H584" s="5" t="s">
        <v>706</v>
      </c>
    </row>
    <row r="585" customFormat="false" ht="15" hidden="false" customHeight="false" outlineLevel="0" collapsed="false">
      <c r="A585" s="5" t="n">
        <v>584</v>
      </c>
      <c r="B585" s="5" t="s">
        <v>2584</v>
      </c>
      <c r="C585" s="5" t="s">
        <v>1181</v>
      </c>
      <c r="D585" s="5" t="n">
        <v>1</v>
      </c>
      <c r="E585" s="5" t="n">
        <v>0</v>
      </c>
      <c r="F585" s="5" t="n">
        <v>0</v>
      </c>
      <c r="G585" s="5" t="s">
        <v>2585</v>
      </c>
      <c r="H585" s="5" t="s">
        <v>640</v>
      </c>
    </row>
    <row r="586" customFormat="false" ht="15" hidden="false" customHeight="false" outlineLevel="0" collapsed="false">
      <c r="A586" s="5" t="n">
        <v>585</v>
      </c>
      <c r="B586" s="5" t="s">
        <v>2586</v>
      </c>
      <c r="C586" s="5" t="s">
        <v>1181</v>
      </c>
      <c r="D586" s="5" t="n">
        <v>1</v>
      </c>
      <c r="E586" s="5" t="n">
        <v>0</v>
      </c>
      <c r="F586" s="5" t="n">
        <v>0</v>
      </c>
      <c r="G586" s="5" t="s">
        <v>2587</v>
      </c>
      <c r="H586" s="5" t="s">
        <v>535</v>
      </c>
    </row>
    <row r="587" customFormat="false" ht="15" hidden="false" customHeight="false" outlineLevel="0" collapsed="false">
      <c r="A587" s="5" t="n">
        <v>586</v>
      </c>
      <c r="B587" s="5" t="s">
        <v>2588</v>
      </c>
      <c r="C587" s="5" t="s">
        <v>1181</v>
      </c>
      <c r="D587" s="5" t="n">
        <v>1</v>
      </c>
      <c r="E587" s="5" t="n">
        <v>0</v>
      </c>
      <c r="F587" s="5" t="n">
        <v>0</v>
      </c>
      <c r="G587" s="5" t="s">
        <v>2589</v>
      </c>
      <c r="H587" s="5" t="s">
        <v>622</v>
      </c>
    </row>
    <row r="588" customFormat="false" ht="15" hidden="false" customHeight="false" outlineLevel="0" collapsed="false">
      <c r="A588" s="5" t="n">
        <v>587</v>
      </c>
      <c r="B588" s="5" t="s">
        <v>623</v>
      </c>
      <c r="C588" s="5" t="s">
        <v>1181</v>
      </c>
      <c r="D588" s="5" t="n">
        <v>1</v>
      </c>
      <c r="E588" s="5" t="n">
        <v>0</v>
      </c>
      <c r="F588" s="5" t="n">
        <v>0</v>
      </c>
      <c r="G588" s="5" t="s">
        <v>2590</v>
      </c>
      <c r="H588" s="5" t="s">
        <v>622</v>
      </c>
    </row>
    <row r="589" customFormat="false" ht="15" hidden="false" customHeight="false" outlineLevel="0" collapsed="false">
      <c r="A589" s="5" t="n">
        <v>588</v>
      </c>
      <c r="B589" s="5" t="s">
        <v>2591</v>
      </c>
      <c r="C589" s="5" t="s">
        <v>1181</v>
      </c>
      <c r="D589" s="5" t="n">
        <v>1</v>
      </c>
      <c r="E589" s="5" t="n">
        <v>0</v>
      </c>
      <c r="F589" s="5" t="n">
        <v>0</v>
      </c>
      <c r="G589" s="5" t="s">
        <v>2592</v>
      </c>
      <c r="H589" s="5" t="s">
        <v>535</v>
      </c>
    </row>
    <row r="590" customFormat="false" ht="15" hidden="false" customHeight="false" outlineLevel="0" collapsed="false">
      <c r="A590" s="5" t="n">
        <v>589</v>
      </c>
      <c r="B590" s="5" t="s">
        <v>2593</v>
      </c>
      <c r="C590" s="5" t="s">
        <v>1176</v>
      </c>
      <c r="D590" s="5" t="n">
        <v>1</v>
      </c>
      <c r="E590" s="5" t="n">
        <v>0</v>
      </c>
      <c r="F590" s="5" t="n">
        <v>0</v>
      </c>
      <c r="G590" s="5" t="s">
        <v>2594</v>
      </c>
      <c r="H590" s="5" t="s">
        <v>120</v>
      </c>
    </row>
    <row r="591" customFormat="false" ht="15" hidden="false" customHeight="false" outlineLevel="0" collapsed="false">
      <c r="A591" s="5" t="n">
        <v>590</v>
      </c>
      <c r="B591" s="5" t="s">
        <v>2595</v>
      </c>
      <c r="C591" s="5" t="s">
        <v>1181</v>
      </c>
      <c r="D591" s="5" t="n">
        <v>1</v>
      </c>
      <c r="E591" s="5" t="n">
        <v>0</v>
      </c>
      <c r="F591" s="5" t="n">
        <v>0</v>
      </c>
      <c r="G591" s="5" t="s">
        <v>2596</v>
      </c>
      <c r="H591" s="5" t="s">
        <v>804</v>
      </c>
    </row>
    <row r="592" customFormat="false" ht="15" hidden="false" customHeight="false" outlineLevel="0" collapsed="false">
      <c r="A592" s="5" t="n">
        <v>591</v>
      </c>
      <c r="B592" s="5" t="s">
        <v>2597</v>
      </c>
      <c r="C592" s="5" t="s">
        <v>1181</v>
      </c>
      <c r="D592" s="5" t="n">
        <v>1</v>
      </c>
      <c r="E592" s="5" t="n">
        <v>0</v>
      </c>
      <c r="F592" s="5" t="n">
        <v>0</v>
      </c>
      <c r="G592" s="5" t="s">
        <v>2598</v>
      </c>
      <c r="H592" s="5" t="s">
        <v>810</v>
      </c>
    </row>
    <row r="593" customFormat="false" ht="15" hidden="false" customHeight="false" outlineLevel="0" collapsed="false">
      <c r="A593" s="5" t="n">
        <v>592</v>
      </c>
      <c r="B593" s="5" t="s">
        <v>627</v>
      </c>
      <c r="C593" s="5" t="s">
        <v>1181</v>
      </c>
      <c r="D593" s="5" t="n">
        <v>1</v>
      </c>
      <c r="E593" s="5" t="n">
        <v>0</v>
      </c>
      <c r="F593" s="5" t="n">
        <v>0</v>
      </c>
      <c r="G593" s="5" t="s">
        <v>2599</v>
      </c>
      <c r="H593" s="5" t="s">
        <v>626</v>
      </c>
    </row>
    <row r="594" customFormat="false" ht="15" hidden="false" customHeight="false" outlineLevel="0" collapsed="false">
      <c r="A594" s="5" t="n">
        <v>593</v>
      </c>
      <c r="B594" s="5" t="s">
        <v>2600</v>
      </c>
      <c r="C594" s="5" t="s">
        <v>1181</v>
      </c>
      <c r="D594" s="5" t="n">
        <v>1</v>
      </c>
      <c r="E594" s="5" t="n">
        <v>0</v>
      </c>
      <c r="F594" s="5" t="n">
        <v>0</v>
      </c>
      <c r="G594" s="5" t="s">
        <v>2601</v>
      </c>
      <c r="H594" s="5" t="s">
        <v>1069</v>
      </c>
    </row>
    <row r="595" customFormat="false" ht="15" hidden="false" customHeight="false" outlineLevel="0" collapsed="false">
      <c r="A595" s="5" t="n">
        <v>594</v>
      </c>
      <c r="B595" s="5" t="s">
        <v>2602</v>
      </c>
      <c r="C595" s="5" t="s">
        <v>1181</v>
      </c>
      <c r="D595" s="5" t="n">
        <v>1</v>
      </c>
      <c r="E595" s="5" t="n">
        <v>0</v>
      </c>
      <c r="F595" s="5" t="n">
        <v>0</v>
      </c>
      <c r="G595" s="5" t="s">
        <v>2603</v>
      </c>
      <c r="H595" s="5" t="s">
        <v>1117</v>
      </c>
    </row>
    <row r="596" customFormat="false" ht="15" hidden="false" customHeight="false" outlineLevel="0" collapsed="false">
      <c r="A596" s="5" t="n">
        <v>595</v>
      </c>
      <c r="B596" s="5" t="s">
        <v>2604</v>
      </c>
      <c r="C596" s="5" t="s">
        <v>1181</v>
      </c>
      <c r="D596" s="5" t="n">
        <v>1</v>
      </c>
      <c r="E596" s="5" t="n">
        <v>0</v>
      </c>
      <c r="F596" s="5" t="n">
        <v>0</v>
      </c>
      <c r="G596" s="5" t="s">
        <v>2605</v>
      </c>
      <c r="H596" s="5" t="s">
        <v>1133</v>
      </c>
    </row>
    <row r="597" customFormat="false" ht="15" hidden="false" customHeight="false" outlineLevel="0" collapsed="false">
      <c r="A597" s="5" t="n">
        <v>596</v>
      </c>
      <c r="B597" s="5" t="s">
        <v>2606</v>
      </c>
      <c r="C597" s="5" t="s">
        <v>1181</v>
      </c>
      <c r="D597" s="5" t="n">
        <v>1</v>
      </c>
      <c r="E597" s="5" t="n">
        <v>0</v>
      </c>
      <c r="F597" s="5" t="n">
        <v>0</v>
      </c>
      <c r="G597" s="5" t="s">
        <v>2607</v>
      </c>
      <c r="H597" s="5" t="s">
        <v>1026</v>
      </c>
    </row>
    <row r="598" customFormat="false" ht="15" hidden="false" customHeight="false" outlineLevel="0" collapsed="false">
      <c r="A598" s="5" t="n">
        <v>597</v>
      </c>
      <c r="B598" s="5" t="s">
        <v>2608</v>
      </c>
      <c r="C598" s="5" t="s">
        <v>1181</v>
      </c>
      <c r="D598" s="5" t="n">
        <v>1</v>
      </c>
      <c r="E598" s="5" t="n">
        <v>0</v>
      </c>
      <c r="F598" s="5" t="n">
        <v>0</v>
      </c>
      <c r="G598" s="5" t="s">
        <v>2609</v>
      </c>
      <c r="H598" s="5" t="s">
        <v>726</v>
      </c>
    </row>
    <row r="599" customFormat="false" ht="15" hidden="false" customHeight="false" outlineLevel="0" collapsed="false">
      <c r="A599" s="5" t="n">
        <v>598</v>
      </c>
      <c r="B599" s="5" t="s">
        <v>2610</v>
      </c>
      <c r="C599" s="5" t="s">
        <v>1181</v>
      </c>
      <c r="D599" s="5" t="n">
        <v>1</v>
      </c>
      <c r="E599" s="5" t="n">
        <v>0</v>
      </c>
      <c r="F599" s="5" t="n">
        <v>0</v>
      </c>
      <c r="G599" s="5" t="s">
        <v>2611</v>
      </c>
      <c r="H599" s="5" t="s">
        <v>781</v>
      </c>
    </row>
    <row r="600" customFormat="false" ht="15" hidden="false" customHeight="false" outlineLevel="0" collapsed="false">
      <c r="A600" s="5" t="n">
        <v>599</v>
      </c>
      <c r="B600" s="5" t="s">
        <v>2612</v>
      </c>
      <c r="C600" s="5" t="s">
        <v>1181</v>
      </c>
      <c r="D600" s="5" t="n">
        <v>1</v>
      </c>
      <c r="E600" s="5" t="n">
        <v>0</v>
      </c>
      <c r="F600" s="5" t="n">
        <v>0</v>
      </c>
      <c r="G600" s="5" t="s">
        <v>2613</v>
      </c>
      <c r="H600" s="5" t="s">
        <v>442</v>
      </c>
    </row>
    <row r="601" customFormat="false" ht="15" hidden="false" customHeight="false" outlineLevel="0" collapsed="false">
      <c r="A601" s="5" t="n">
        <v>600</v>
      </c>
      <c r="B601" s="5" t="s">
        <v>2614</v>
      </c>
      <c r="C601" s="5" t="s">
        <v>1181</v>
      </c>
      <c r="D601" s="5" t="n">
        <v>1</v>
      </c>
      <c r="E601" s="5" t="n">
        <v>0</v>
      </c>
      <c r="F601" s="5" t="n">
        <v>0</v>
      </c>
      <c r="G601" s="5" t="s">
        <v>2615</v>
      </c>
      <c r="H601" s="5" t="s">
        <v>775</v>
      </c>
    </row>
    <row r="602" customFormat="false" ht="15" hidden="false" customHeight="false" outlineLevel="0" collapsed="false">
      <c r="A602" s="5" t="n">
        <v>601</v>
      </c>
      <c r="B602" s="5" t="s">
        <v>2616</v>
      </c>
      <c r="C602" s="5" t="s">
        <v>1181</v>
      </c>
      <c r="D602" s="5" t="n">
        <v>1</v>
      </c>
      <c r="E602" s="5" t="n">
        <v>0</v>
      </c>
      <c r="F602" s="5" t="n">
        <v>0</v>
      </c>
      <c r="G602" s="5" t="s">
        <v>2617</v>
      </c>
      <c r="H602" s="5" t="s">
        <v>794</v>
      </c>
    </row>
    <row r="603" customFormat="false" ht="15" hidden="false" customHeight="false" outlineLevel="0" collapsed="false">
      <c r="A603" s="5" t="n">
        <v>602</v>
      </c>
      <c r="B603" s="5" t="s">
        <v>2618</v>
      </c>
      <c r="C603" s="5" t="s">
        <v>1181</v>
      </c>
      <c r="D603" s="5" t="n">
        <v>1</v>
      </c>
      <c r="E603" s="5" t="n">
        <v>0</v>
      </c>
      <c r="F603" s="5" t="n">
        <v>0</v>
      </c>
      <c r="G603" s="5" t="s">
        <v>2619</v>
      </c>
      <c r="H603" s="5" t="s">
        <v>640</v>
      </c>
    </row>
    <row r="604" customFormat="false" ht="15" hidden="false" customHeight="false" outlineLevel="0" collapsed="false">
      <c r="A604" s="5" t="n">
        <v>603</v>
      </c>
      <c r="B604" s="5" t="s">
        <v>2620</v>
      </c>
      <c r="C604" s="5" t="s">
        <v>1181</v>
      </c>
      <c r="D604" s="5" t="n">
        <v>1</v>
      </c>
      <c r="E604" s="5" t="n">
        <v>0</v>
      </c>
      <c r="F604" s="5" t="n">
        <v>0</v>
      </c>
      <c r="G604" s="5" t="s">
        <v>2621</v>
      </c>
      <c r="H604" s="5" t="s">
        <v>810</v>
      </c>
    </row>
    <row r="605" customFormat="false" ht="15" hidden="false" customHeight="false" outlineLevel="0" collapsed="false">
      <c r="A605" s="5" t="n">
        <v>604</v>
      </c>
      <c r="B605" s="5" t="s">
        <v>2622</v>
      </c>
      <c r="C605" s="5" t="s">
        <v>1181</v>
      </c>
      <c r="D605" s="5" t="n">
        <v>1</v>
      </c>
      <c r="E605" s="5" t="n">
        <v>0</v>
      </c>
      <c r="F605" s="5" t="n">
        <v>0</v>
      </c>
      <c r="G605" s="5" t="s">
        <v>2623</v>
      </c>
      <c r="H605" s="5" t="s">
        <v>794</v>
      </c>
    </row>
    <row r="606" customFormat="false" ht="15" hidden="false" customHeight="false" outlineLevel="0" collapsed="false">
      <c r="A606" s="5" t="n">
        <v>605</v>
      </c>
      <c r="B606" s="5" t="s">
        <v>2624</v>
      </c>
      <c r="C606" s="5" t="s">
        <v>1181</v>
      </c>
      <c r="D606" s="5" t="n">
        <v>1</v>
      </c>
      <c r="E606" s="5" t="n">
        <v>0</v>
      </c>
      <c r="F606" s="5" t="n">
        <v>0</v>
      </c>
      <c r="G606" s="5" t="s">
        <v>2625</v>
      </c>
      <c r="H606" s="5" t="s">
        <v>94</v>
      </c>
    </row>
    <row r="607" customFormat="false" ht="15" hidden="false" customHeight="false" outlineLevel="0" collapsed="false">
      <c r="A607" s="5" t="n">
        <v>606</v>
      </c>
      <c r="B607" s="5" t="s">
        <v>2626</v>
      </c>
      <c r="C607" s="5" t="s">
        <v>1181</v>
      </c>
      <c r="D607" s="5" t="n">
        <v>1</v>
      </c>
      <c r="E607" s="5" t="n">
        <v>0</v>
      </c>
      <c r="F607" s="5" t="n">
        <v>0</v>
      </c>
      <c r="G607" s="5" t="s">
        <v>2627</v>
      </c>
      <c r="H607" s="5" t="s">
        <v>751</v>
      </c>
    </row>
    <row r="608" customFormat="false" ht="15" hidden="false" customHeight="false" outlineLevel="0" collapsed="false">
      <c r="A608" s="5" t="n">
        <v>607</v>
      </c>
      <c r="B608" s="5" t="s">
        <v>2628</v>
      </c>
      <c r="C608" s="5" t="s">
        <v>1181</v>
      </c>
      <c r="D608" s="5" t="n">
        <v>1</v>
      </c>
      <c r="E608" s="5" t="n">
        <v>0</v>
      </c>
      <c r="F608" s="5" t="n">
        <v>0</v>
      </c>
      <c r="G608" s="5" t="s">
        <v>2629</v>
      </c>
      <c r="H608" s="5" t="s">
        <v>826</v>
      </c>
    </row>
    <row r="609" customFormat="false" ht="15" hidden="false" customHeight="false" outlineLevel="0" collapsed="false">
      <c r="A609" s="5" t="n">
        <v>608</v>
      </c>
      <c r="B609" s="5" t="s">
        <v>2630</v>
      </c>
      <c r="C609" s="5" t="s">
        <v>1181</v>
      </c>
      <c r="D609" s="5" t="n">
        <v>1</v>
      </c>
      <c r="E609" s="5" t="n">
        <v>0</v>
      </c>
      <c r="F609" s="5" t="n">
        <v>0</v>
      </c>
      <c r="G609" s="5" t="s">
        <v>2631</v>
      </c>
      <c r="H609" s="5" t="s">
        <v>1033</v>
      </c>
    </row>
    <row r="610" customFormat="false" ht="15" hidden="false" customHeight="false" outlineLevel="0" collapsed="false">
      <c r="A610" s="5" t="n">
        <v>609</v>
      </c>
      <c r="B610" s="5" t="s">
        <v>2632</v>
      </c>
      <c r="C610" s="5" t="s">
        <v>1181</v>
      </c>
      <c r="D610" s="5" t="n">
        <v>1</v>
      </c>
      <c r="E610" s="5" t="n">
        <v>0</v>
      </c>
      <c r="F610" s="5" t="n">
        <v>0</v>
      </c>
      <c r="G610" s="5" t="s">
        <v>2633</v>
      </c>
      <c r="H610" s="5" t="s">
        <v>535</v>
      </c>
    </row>
    <row r="611" customFormat="false" ht="15" hidden="false" customHeight="false" outlineLevel="0" collapsed="false">
      <c r="A611" s="5" t="n">
        <v>610</v>
      </c>
      <c r="B611" s="5" t="s">
        <v>2634</v>
      </c>
      <c r="C611" s="5" t="s">
        <v>1181</v>
      </c>
      <c r="D611" s="5" t="n">
        <v>1</v>
      </c>
      <c r="E611" s="5" t="n">
        <v>0</v>
      </c>
      <c r="F611" s="5" t="n">
        <v>0</v>
      </c>
      <c r="G611" s="5" t="s">
        <v>2635</v>
      </c>
      <c r="H611" s="5" t="s">
        <v>1085</v>
      </c>
    </row>
    <row r="612" customFormat="false" ht="15" hidden="false" customHeight="false" outlineLevel="0" collapsed="false">
      <c r="A612" s="5" t="n">
        <v>611</v>
      </c>
      <c r="B612" s="5" t="s">
        <v>2636</v>
      </c>
      <c r="C612" s="5" t="s">
        <v>1181</v>
      </c>
      <c r="D612" s="5" t="n">
        <v>1</v>
      </c>
      <c r="E612" s="5" t="n">
        <v>0</v>
      </c>
      <c r="F612" s="5" t="n">
        <v>0</v>
      </c>
      <c r="G612" s="5" t="s">
        <v>2637</v>
      </c>
      <c r="H612" s="5" t="s">
        <v>1103</v>
      </c>
    </row>
    <row r="613" customFormat="false" ht="15" hidden="false" customHeight="false" outlineLevel="0" collapsed="false">
      <c r="A613" s="5" t="n">
        <v>612</v>
      </c>
      <c r="B613" s="5" t="s">
        <v>2638</v>
      </c>
      <c r="C613" s="5" t="s">
        <v>1181</v>
      </c>
      <c r="D613" s="5" t="n">
        <v>1</v>
      </c>
      <c r="E613" s="5" t="n">
        <v>0</v>
      </c>
      <c r="F613" s="5" t="n">
        <v>0</v>
      </c>
      <c r="G613" s="5" t="s">
        <v>2639</v>
      </c>
      <c r="H613" s="5" t="s">
        <v>535</v>
      </c>
    </row>
    <row r="614" customFormat="false" ht="15" hidden="false" customHeight="false" outlineLevel="0" collapsed="false">
      <c r="A614" s="5" t="n">
        <v>613</v>
      </c>
      <c r="B614" s="5" t="s">
        <v>2640</v>
      </c>
      <c r="C614" s="5" t="s">
        <v>1181</v>
      </c>
      <c r="D614" s="5" t="n">
        <v>1</v>
      </c>
      <c r="E614" s="5" t="n">
        <v>0</v>
      </c>
      <c r="F614" s="5" t="n">
        <v>0</v>
      </c>
      <c r="G614" s="5" t="s">
        <v>2641</v>
      </c>
      <c r="H614" s="5" t="s">
        <v>561</v>
      </c>
    </row>
    <row r="615" customFormat="false" ht="15" hidden="false" customHeight="false" outlineLevel="0" collapsed="false">
      <c r="A615" s="5" t="n">
        <v>614</v>
      </c>
      <c r="B615" s="5" t="s">
        <v>634</v>
      </c>
      <c r="C615" s="5" t="s">
        <v>1181</v>
      </c>
      <c r="D615" s="5" t="n">
        <v>1</v>
      </c>
      <c r="E615" s="5" t="n">
        <v>0</v>
      </c>
      <c r="F615" s="5" t="n">
        <v>0</v>
      </c>
      <c r="G615" s="5" t="s">
        <v>2642</v>
      </c>
      <c r="H615" s="5" t="s">
        <v>633</v>
      </c>
    </row>
    <row r="616" customFormat="false" ht="15" hidden="false" customHeight="false" outlineLevel="0" collapsed="false">
      <c r="A616" s="5" t="n">
        <v>615</v>
      </c>
      <c r="B616" s="5" t="s">
        <v>2643</v>
      </c>
      <c r="C616" s="5" t="s">
        <v>1181</v>
      </c>
      <c r="D616" s="5" t="n">
        <v>1</v>
      </c>
      <c r="E616" s="5" t="n">
        <v>0</v>
      </c>
      <c r="F616" s="5" t="n">
        <v>0</v>
      </c>
      <c r="G616" s="5" t="s">
        <v>2644</v>
      </c>
      <c r="H616" s="5" t="s">
        <v>409</v>
      </c>
    </row>
    <row r="617" customFormat="false" ht="15" hidden="false" customHeight="false" outlineLevel="0" collapsed="false">
      <c r="A617" s="5" t="n">
        <v>616</v>
      </c>
      <c r="B617" s="5" t="s">
        <v>2645</v>
      </c>
      <c r="C617" s="5" t="s">
        <v>1181</v>
      </c>
      <c r="D617" s="5" t="n">
        <v>1</v>
      </c>
      <c r="E617" s="5" t="n">
        <v>0</v>
      </c>
      <c r="F617" s="5" t="n">
        <v>0</v>
      </c>
      <c r="G617" s="5" t="s">
        <v>2646</v>
      </c>
      <c r="H617" s="5" t="s">
        <v>642</v>
      </c>
    </row>
    <row r="618" customFormat="false" ht="15" hidden="false" customHeight="false" outlineLevel="0" collapsed="false">
      <c r="A618" s="5" t="n">
        <v>617</v>
      </c>
      <c r="B618" s="5" t="s">
        <v>2647</v>
      </c>
      <c r="C618" s="5" t="s">
        <v>1181</v>
      </c>
      <c r="D618" s="5" t="n">
        <v>1</v>
      </c>
      <c r="E618" s="5" t="n">
        <v>0</v>
      </c>
      <c r="F618" s="5" t="n">
        <v>0</v>
      </c>
      <c r="G618" s="5" t="s">
        <v>2648</v>
      </c>
      <c r="H618" s="5" t="s">
        <v>529</v>
      </c>
    </row>
    <row r="619" customFormat="false" ht="15" hidden="false" customHeight="false" outlineLevel="0" collapsed="false">
      <c r="A619" s="5" t="n">
        <v>618</v>
      </c>
      <c r="B619" s="5" t="s">
        <v>111</v>
      </c>
      <c r="C619" s="5" t="s">
        <v>1176</v>
      </c>
      <c r="D619" s="5" t="n">
        <v>1</v>
      </c>
      <c r="E619" s="5" t="n">
        <v>0</v>
      </c>
      <c r="F619" s="5" t="n">
        <v>0</v>
      </c>
      <c r="G619" s="5" t="s">
        <v>2649</v>
      </c>
      <c r="H619" s="5" t="s">
        <v>109</v>
      </c>
    </row>
    <row r="620" customFormat="false" ht="15" hidden="false" customHeight="false" outlineLevel="0" collapsed="false">
      <c r="A620" s="5" t="n">
        <v>619</v>
      </c>
      <c r="B620" s="5" t="s">
        <v>2650</v>
      </c>
      <c r="C620" s="5" t="s">
        <v>1181</v>
      </c>
      <c r="D620" s="5" t="n">
        <v>1</v>
      </c>
      <c r="E620" s="5" t="n">
        <v>0</v>
      </c>
      <c r="F620" s="5" t="n">
        <v>0</v>
      </c>
      <c r="G620" s="5" t="s">
        <v>2651</v>
      </c>
      <c r="H620" s="5" t="s">
        <v>781</v>
      </c>
    </row>
    <row r="621" customFormat="false" ht="15" hidden="false" customHeight="false" outlineLevel="0" collapsed="false">
      <c r="A621" s="5" t="n">
        <v>620</v>
      </c>
      <c r="B621" s="5" t="s">
        <v>2652</v>
      </c>
      <c r="C621" s="5" t="s">
        <v>1181</v>
      </c>
      <c r="D621" s="5" t="n">
        <v>1</v>
      </c>
      <c r="E621" s="5" t="n">
        <v>0</v>
      </c>
      <c r="F621" s="5" t="n">
        <v>0</v>
      </c>
      <c r="G621" s="5" t="s">
        <v>2653</v>
      </c>
      <c r="H621" s="5" t="s">
        <v>556</v>
      </c>
    </row>
    <row r="622" customFormat="false" ht="15" hidden="false" customHeight="false" outlineLevel="0" collapsed="false">
      <c r="A622" s="5" t="n">
        <v>621</v>
      </c>
      <c r="B622" s="5" t="s">
        <v>2654</v>
      </c>
      <c r="C622" s="5" t="s">
        <v>1181</v>
      </c>
      <c r="D622" s="5" t="n">
        <v>1</v>
      </c>
      <c r="E622" s="5" t="n">
        <v>0</v>
      </c>
      <c r="F622" s="5" t="n">
        <v>0</v>
      </c>
      <c r="G622" s="5" t="s">
        <v>2655</v>
      </c>
      <c r="H622" s="5" t="s">
        <v>807</v>
      </c>
    </row>
    <row r="623" customFormat="false" ht="15" hidden="false" customHeight="false" outlineLevel="0" collapsed="false">
      <c r="A623" s="5" t="n">
        <v>622</v>
      </c>
      <c r="B623" s="5" t="s">
        <v>2656</v>
      </c>
      <c r="C623" s="5" t="s">
        <v>1181</v>
      </c>
      <c r="D623" s="5" t="n">
        <v>1</v>
      </c>
      <c r="E623" s="5" t="n">
        <v>0</v>
      </c>
      <c r="F623" s="5" t="n">
        <v>0</v>
      </c>
      <c r="G623" s="5" t="s">
        <v>2657</v>
      </c>
      <c r="H623" s="5" t="s">
        <v>698</v>
      </c>
    </row>
    <row r="624" customFormat="false" ht="15" hidden="false" customHeight="false" outlineLevel="0" collapsed="false">
      <c r="A624" s="5" t="n">
        <v>623</v>
      </c>
      <c r="B624" s="5" t="s">
        <v>2658</v>
      </c>
      <c r="C624" s="5" t="s">
        <v>1181</v>
      </c>
      <c r="D624" s="5" t="n">
        <v>1</v>
      </c>
      <c r="E624" s="5" t="n">
        <v>0</v>
      </c>
      <c r="F624" s="5" t="n">
        <v>0</v>
      </c>
      <c r="G624" s="5" t="s">
        <v>2659</v>
      </c>
      <c r="H624" s="5" t="s">
        <v>421</v>
      </c>
    </row>
    <row r="625" customFormat="false" ht="15" hidden="false" customHeight="false" outlineLevel="0" collapsed="false">
      <c r="A625" s="5" t="n">
        <v>624</v>
      </c>
      <c r="B625" s="5" t="s">
        <v>2660</v>
      </c>
      <c r="C625" s="5" t="s">
        <v>1181</v>
      </c>
      <c r="D625" s="5" t="n">
        <v>1</v>
      </c>
      <c r="E625" s="5" t="n">
        <v>0</v>
      </c>
      <c r="F625" s="5" t="n">
        <v>0</v>
      </c>
      <c r="G625" s="5" t="s">
        <v>2661</v>
      </c>
      <c r="H625" s="5" t="s">
        <v>824</v>
      </c>
    </row>
    <row r="626" customFormat="false" ht="15" hidden="false" customHeight="false" outlineLevel="0" collapsed="false">
      <c r="A626" s="5" t="n">
        <v>625</v>
      </c>
      <c r="B626" s="5" t="s">
        <v>2662</v>
      </c>
      <c r="C626" s="5" t="s">
        <v>1181</v>
      </c>
      <c r="D626" s="5" t="n">
        <v>1</v>
      </c>
      <c r="E626" s="5" t="n">
        <v>0</v>
      </c>
      <c r="F626" s="5" t="n">
        <v>0</v>
      </c>
      <c r="G626" s="5" t="s">
        <v>2663</v>
      </c>
      <c r="H626" s="5" t="s">
        <v>1143</v>
      </c>
    </row>
    <row r="627" customFormat="false" ht="15" hidden="false" customHeight="false" outlineLevel="0" collapsed="false">
      <c r="A627" s="5" t="n">
        <v>626</v>
      </c>
      <c r="B627" s="5" t="s">
        <v>2664</v>
      </c>
      <c r="C627" s="5" t="s">
        <v>1181</v>
      </c>
      <c r="D627" s="5" t="n">
        <v>1</v>
      </c>
      <c r="E627" s="5" t="n">
        <v>0</v>
      </c>
      <c r="F627" s="5" t="n">
        <v>0</v>
      </c>
      <c r="G627" s="5" t="s">
        <v>2665</v>
      </c>
      <c r="H627" s="5" t="s">
        <v>1069</v>
      </c>
    </row>
    <row r="628" customFormat="false" ht="15" hidden="false" customHeight="false" outlineLevel="0" collapsed="false">
      <c r="A628" s="5" t="n">
        <v>627</v>
      </c>
      <c r="B628" s="5" t="s">
        <v>2666</v>
      </c>
      <c r="C628" s="5" t="s">
        <v>1181</v>
      </c>
      <c r="D628" s="5" t="n">
        <v>1</v>
      </c>
      <c r="E628" s="5" t="n">
        <v>0</v>
      </c>
      <c r="F628" s="5" t="n">
        <v>0</v>
      </c>
      <c r="G628" s="5" t="s">
        <v>2667</v>
      </c>
      <c r="H628" s="5" t="s">
        <v>423</v>
      </c>
    </row>
    <row r="629" customFormat="false" ht="15" hidden="false" customHeight="false" outlineLevel="0" collapsed="false">
      <c r="A629" s="5" t="n">
        <v>628</v>
      </c>
      <c r="B629" s="5" t="s">
        <v>2668</v>
      </c>
      <c r="C629" s="5" t="s">
        <v>1181</v>
      </c>
      <c r="D629" s="5" t="n">
        <v>1</v>
      </c>
      <c r="E629" s="5" t="n">
        <v>0</v>
      </c>
      <c r="F629" s="5" t="n">
        <v>0</v>
      </c>
      <c r="G629" s="5" t="s">
        <v>2669</v>
      </c>
      <c r="H629" s="5" t="s">
        <v>53</v>
      </c>
    </row>
    <row r="630" customFormat="false" ht="15" hidden="false" customHeight="false" outlineLevel="0" collapsed="false">
      <c r="A630" s="5" t="n">
        <v>629</v>
      </c>
      <c r="B630" s="5" t="s">
        <v>2670</v>
      </c>
      <c r="C630" s="5" t="s">
        <v>1181</v>
      </c>
      <c r="D630" s="5" t="n">
        <v>1</v>
      </c>
      <c r="E630" s="5" t="n">
        <v>0</v>
      </c>
      <c r="F630" s="5" t="n">
        <v>0</v>
      </c>
      <c r="G630" s="5" t="s">
        <v>2671</v>
      </c>
      <c r="H630" s="5" t="s">
        <v>556</v>
      </c>
    </row>
    <row r="631" customFormat="false" ht="15" hidden="false" customHeight="false" outlineLevel="0" collapsed="false">
      <c r="A631" s="5" t="n">
        <v>630</v>
      </c>
      <c r="B631" s="5" t="s">
        <v>2672</v>
      </c>
      <c r="C631" s="5" t="s">
        <v>1181</v>
      </c>
      <c r="D631" s="5" t="n">
        <v>1</v>
      </c>
      <c r="E631" s="5" t="n">
        <v>0</v>
      </c>
      <c r="F631" s="5" t="n">
        <v>0</v>
      </c>
      <c r="G631" s="5" t="s">
        <v>2673</v>
      </c>
      <c r="H631" s="5" t="s">
        <v>535</v>
      </c>
    </row>
    <row r="632" customFormat="false" ht="15" hidden="false" customHeight="false" outlineLevel="0" collapsed="false">
      <c r="A632" s="5" t="n">
        <v>631</v>
      </c>
      <c r="B632" s="5" t="s">
        <v>2674</v>
      </c>
      <c r="C632" s="5" t="s">
        <v>1181</v>
      </c>
      <c r="D632" s="5" t="n">
        <v>1</v>
      </c>
      <c r="E632" s="5" t="n">
        <v>0</v>
      </c>
      <c r="F632" s="5" t="n">
        <v>0</v>
      </c>
      <c r="G632" s="5" t="s">
        <v>2675</v>
      </c>
      <c r="H632" s="5" t="s">
        <v>778</v>
      </c>
    </row>
    <row r="633" customFormat="false" ht="15" hidden="false" customHeight="false" outlineLevel="0" collapsed="false">
      <c r="A633" s="5" t="n">
        <v>632</v>
      </c>
      <c r="B633" s="5" t="s">
        <v>2676</v>
      </c>
      <c r="C633" s="5" t="s">
        <v>1181</v>
      </c>
      <c r="D633" s="5" t="n">
        <v>1</v>
      </c>
      <c r="E633" s="5" t="n">
        <v>0</v>
      </c>
      <c r="F633" s="5" t="n">
        <v>0</v>
      </c>
      <c r="G633" s="5" t="s">
        <v>2677</v>
      </c>
      <c r="H633" s="5" t="s">
        <v>1143</v>
      </c>
    </row>
    <row r="634" customFormat="false" ht="15" hidden="false" customHeight="false" outlineLevel="0" collapsed="false">
      <c r="A634" s="5" t="n">
        <v>633</v>
      </c>
      <c r="B634" s="5" t="s">
        <v>2678</v>
      </c>
      <c r="C634" s="5" t="s">
        <v>1181</v>
      </c>
      <c r="D634" s="5" t="n">
        <v>1</v>
      </c>
      <c r="E634" s="5" t="n">
        <v>0</v>
      </c>
      <c r="F634" s="5" t="n">
        <v>0</v>
      </c>
      <c r="G634" s="5" t="s">
        <v>2679</v>
      </c>
      <c r="H634" s="5" t="s">
        <v>981</v>
      </c>
    </row>
    <row r="635" customFormat="false" ht="15" hidden="false" customHeight="false" outlineLevel="0" collapsed="false">
      <c r="A635" s="5" t="n">
        <v>634</v>
      </c>
      <c r="B635" s="5" t="s">
        <v>2680</v>
      </c>
      <c r="C635" s="5" t="s">
        <v>1181</v>
      </c>
      <c r="D635" s="5" t="n">
        <v>1</v>
      </c>
      <c r="E635" s="5" t="n">
        <v>0</v>
      </c>
      <c r="F635" s="5" t="n">
        <v>0</v>
      </c>
      <c r="G635" s="5" t="s">
        <v>2681</v>
      </c>
      <c r="H635" s="5" t="s">
        <v>981</v>
      </c>
    </row>
    <row r="636" customFormat="false" ht="15" hidden="false" customHeight="false" outlineLevel="0" collapsed="false">
      <c r="A636" s="5" t="n">
        <v>635</v>
      </c>
      <c r="B636" s="5" t="s">
        <v>2682</v>
      </c>
      <c r="C636" s="5" t="s">
        <v>1181</v>
      </c>
      <c r="D636" s="5" t="n">
        <v>1</v>
      </c>
      <c r="E636" s="5" t="n">
        <v>0</v>
      </c>
      <c r="F636" s="5" t="n">
        <v>0</v>
      </c>
      <c r="G636" s="5" t="s">
        <v>2683</v>
      </c>
      <c r="H636" s="5" t="s">
        <v>1143</v>
      </c>
    </row>
    <row r="637" customFormat="false" ht="15" hidden="false" customHeight="false" outlineLevel="0" collapsed="false">
      <c r="A637" s="5" t="n">
        <v>636</v>
      </c>
      <c r="B637" s="5" t="s">
        <v>2684</v>
      </c>
      <c r="C637" s="5" t="s">
        <v>1181</v>
      </c>
      <c r="D637" s="5" t="n">
        <v>1</v>
      </c>
      <c r="E637" s="5" t="n">
        <v>0</v>
      </c>
      <c r="F637" s="5" t="n">
        <v>0</v>
      </c>
      <c r="G637" s="5" t="s">
        <v>2685</v>
      </c>
      <c r="H637" s="5" t="s">
        <v>120</v>
      </c>
    </row>
    <row r="638" customFormat="false" ht="15" hidden="false" customHeight="false" outlineLevel="0" collapsed="false">
      <c r="A638" s="5" t="n">
        <v>637</v>
      </c>
      <c r="B638" s="5" t="s">
        <v>2686</v>
      </c>
      <c r="C638" s="5" t="s">
        <v>1181</v>
      </c>
      <c r="D638" s="5" t="n">
        <v>1</v>
      </c>
      <c r="E638" s="5" t="n">
        <v>0</v>
      </c>
      <c r="F638" s="5" t="n">
        <v>0</v>
      </c>
      <c r="G638" s="5" t="s">
        <v>2687</v>
      </c>
      <c r="H638" s="5" t="s">
        <v>83</v>
      </c>
    </row>
    <row r="639" customFormat="false" ht="15" hidden="false" customHeight="false" outlineLevel="0" collapsed="false">
      <c r="A639" s="5" t="n">
        <v>638</v>
      </c>
      <c r="B639" s="5" t="s">
        <v>2688</v>
      </c>
      <c r="C639" s="5" t="s">
        <v>1181</v>
      </c>
      <c r="D639" s="5" t="n">
        <v>1</v>
      </c>
      <c r="E639" s="5" t="n">
        <v>0</v>
      </c>
      <c r="F639" s="5" t="n">
        <v>0</v>
      </c>
      <c r="G639" s="5" t="s">
        <v>2689</v>
      </c>
      <c r="H639" s="5" t="s">
        <v>741</v>
      </c>
    </row>
    <row r="640" customFormat="false" ht="15" hidden="false" customHeight="false" outlineLevel="0" collapsed="false">
      <c r="A640" s="5" t="n">
        <v>639</v>
      </c>
      <c r="B640" s="5" t="s">
        <v>110</v>
      </c>
      <c r="C640" s="5" t="s">
        <v>1181</v>
      </c>
      <c r="D640" s="5" t="n">
        <v>1</v>
      </c>
      <c r="E640" s="5" t="n">
        <v>0</v>
      </c>
      <c r="F640" s="5" t="n">
        <v>0</v>
      </c>
      <c r="G640" s="5" t="s">
        <v>2690</v>
      </c>
      <c r="H640" s="5" t="s">
        <v>109</v>
      </c>
    </row>
    <row r="641" customFormat="false" ht="15" hidden="false" customHeight="false" outlineLevel="0" collapsed="false">
      <c r="A641" s="5" t="n">
        <v>640</v>
      </c>
      <c r="B641" s="5" t="s">
        <v>783</v>
      </c>
      <c r="C641" s="5" t="s">
        <v>1181</v>
      </c>
      <c r="D641" s="5" t="n">
        <v>1</v>
      </c>
      <c r="E641" s="5" t="n">
        <v>0</v>
      </c>
      <c r="F641" s="5" t="n">
        <v>0</v>
      </c>
      <c r="G641" s="5" t="s">
        <v>2691</v>
      </c>
      <c r="H641" s="5" t="s">
        <v>782</v>
      </c>
    </row>
    <row r="642" customFormat="false" ht="15" hidden="false" customHeight="false" outlineLevel="0" collapsed="false">
      <c r="A642" s="5" t="n">
        <v>641</v>
      </c>
      <c r="B642" s="5" t="s">
        <v>2692</v>
      </c>
      <c r="C642" s="5" t="s">
        <v>1181</v>
      </c>
      <c r="D642" s="5" t="n">
        <v>1</v>
      </c>
      <c r="E642" s="5" t="n">
        <v>0</v>
      </c>
      <c r="F642" s="5" t="n">
        <v>0</v>
      </c>
      <c r="G642" s="5" t="s">
        <v>2693</v>
      </c>
      <c r="H642" s="5" t="s">
        <v>667</v>
      </c>
    </row>
    <row r="643" customFormat="false" ht="15" hidden="false" customHeight="false" outlineLevel="0" collapsed="false">
      <c r="A643" s="5" t="n">
        <v>642</v>
      </c>
      <c r="B643" s="5" t="s">
        <v>2694</v>
      </c>
      <c r="C643" s="5" t="s">
        <v>1181</v>
      </c>
      <c r="D643" s="5" t="n">
        <v>1</v>
      </c>
      <c r="E643" s="5" t="n">
        <v>0</v>
      </c>
      <c r="F643" s="5" t="n">
        <v>0</v>
      </c>
      <c r="G643" s="5" t="s">
        <v>2695</v>
      </c>
      <c r="H643" s="5" t="s">
        <v>1069</v>
      </c>
    </row>
    <row r="644" customFormat="false" ht="15" hidden="false" customHeight="false" outlineLevel="0" collapsed="false">
      <c r="A644" s="5" t="n">
        <v>643</v>
      </c>
      <c r="B644" s="5" t="s">
        <v>2696</v>
      </c>
      <c r="C644" s="5" t="s">
        <v>1181</v>
      </c>
      <c r="D644" s="5" t="n">
        <v>1</v>
      </c>
      <c r="E644" s="5" t="n">
        <v>0</v>
      </c>
      <c r="F644" s="5" t="n">
        <v>0</v>
      </c>
      <c r="G644" s="5" t="s">
        <v>2697</v>
      </c>
      <c r="H644" s="5" t="s">
        <v>728</v>
      </c>
    </row>
    <row r="645" customFormat="false" ht="15" hidden="false" customHeight="false" outlineLevel="0" collapsed="false">
      <c r="A645" s="5" t="n">
        <v>644</v>
      </c>
      <c r="B645" s="5" t="s">
        <v>2698</v>
      </c>
      <c r="C645" s="5" t="s">
        <v>1181</v>
      </c>
      <c r="D645" s="5" t="n">
        <v>1</v>
      </c>
      <c r="E645" s="5" t="n">
        <v>0</v>
      </c>
      <c r="F645" s="5" t="n">
        <v>0</v>
      </c>
      <c r="G645" s="5" t="s">
        <v>2699</v>
      </c>
      <c r="H645" s="5" t="s">
        <v>763</v>
      </c>
    </row>
    <row r="646" customFormat="false" ht="15" hidden="false" customHeight="false" outlineLevel="0" collapsed="false">
      <c r="A646" s="5" t="n">
        <v>645</v>
      </c>
      <c r="B646" s="5" t="s">
        <v>2700</v>
      </c>
      <c r="C646" s="5" t="s">
        <v>1181</v>
      </c>
      <c r="D646" s="5" t="n">
        <v>1</v>
      </c>
      <c r="E646" s="5" t="n">
        <v>0</v>
      </c>
      <c r="F646" s="5" t="n">
        <v>0</v>
      </c>
      <c r="G646" s="5" t="s">
        <v>2701</v>
      </c>
      <c r="H646" s="5" t="s">
        <v>810</v>
      </c>
    </row>
    <row r="647" customFormat="false" ht="15" hidden="false" customHeight="false" outlineLevel="0" collapsed="false">
      <c r="A647" s="5" t="n">
        <v>646</v>
      </c>
      <c r="B647" s="5" t="s">
        <v>921</v>
      </c>
      <c r="C647" s="5" t="s">
        <v>1181</v>
      </c>
      <c r="D647" s="5" t="n">
        <v>1</v>
      </c>
      <c r="E647" s="5" t="n">
        <v>0</v>
      </c>
      <c r="F647" s="5" t="n">
        <v>0</v>
      </c>
      <c r="G647" s="5" t="s">
        <v>2702</v>
      </c>
      <c r="H647" s="5" t="s">
        <v>920</v>
      </c>
    </row>
    <row r="648" customFormat="false" ht="15" hidden="false" customHeight="false" outlineLevel="0" collapsed="false">
      <c r="A648" s="5" t="n">
        <v>647</v>
      </c>
      <c r="B648" s="5" t="s">
        <v>2703</v>
      </c>
      <c r="C648" s="5" t="s">
        <v>1181</v>
      </c>
      <c r="D648" s="5" t="n">
        <v>1</v>
      </c>
      <c r="E648" s="5" t="n">
        <v>0</v>
      </c>
      <c r="F648" s="5" t="n">
        <v>0</v>
      </c>
      <c r="G648" s="5" t="s">
        <v>2704</v>
      </c>
      <c r="H648" s="5" t="s">
        <v>1069</v>
      </c>
    </row>
    <row r="649" customFormat="false" ht="15" hidden="false" customHeight="false" outlineLevel="0" collapsed="false">
      <c r="A649" s="5" t="n">
        <v>648</v>
      </c>
      <c r="B649" s="5" t="s">
        <v>2705</v>
      </c>
      <c r="C649" s="5" t="s">
        <v>1181</v>
      </c>
      <c r="D649" s="5" t="n">
        <v>1</v>
      </c>
      <c r="E649" s="5" t="n">
        <v>0</v>
      </c>
      <c r="F649" s="5" t="n">
        <v>0</v>
      </c>
      <c r="G649" s="5" t="s">
        <v>2706</v>
      </c>
      <c r="H649" s="5" t="s">
        <v>640</v>
      </c>
    </row>
    <row r="650" customFormat="false" ht="15" hidden="false" customHeight="false" outlineLevel="0" collapsed="false">
      <c r="A650" s="5" t="n">
        <v>649</v>
      </c>
      <c r="B650" s="5" t="s">
        <v>2707</v>
      </c>
      <c r="C650" s="5" t="s">
        <v>1181</v>
      </c>
      <c r="D650" s="5" t="n">
        <v>1</v>
      </c>
      <c r="E650" s="5" t="n">
        <v>0</v>
      </c>
      <c r="F650" s="5" t="n">
        <v>0</v>
      </c>
      <c r="G650" s="5" t="s">
        <v>2708</v>
      </c>
      <c r="H650" s="5" t="s">
        <v>513</v>
      </c>
    </row>
    <row r="651" customFormat="false" ht="15" hidden="false" customHeight="false" outlineLevel="0" collapsed="false">
      <c r="A651" s="5" t="n">
        <v>650</v>
      </c>
      <c r="B651" s="5" t="s">
        <v>2709</v>
      </c>
      <c r="C651" s="5" t="s">
        <v>1176</v>
      </c>
      <c r="D651" s="5" t="n">
        <v>1</v>
      </c>
      <c r="E651" s="5" t="n">
        <v>0</v>
      </c>
      <c r="F651" s="5" t="n">
        <v>0</v>
      </c>
      <c r="G651" s="5" t="s">
        <v>2710</v>
      </c>
      <c r="H651" s="5" t="s">
        <v>843</v>
      </c>
    </row>
    <row r="652" customFormat="false" ht="15" hidden="false" customHeight="false" outlineLevel="0" collapsed="false">
      <c r="A652" s="5" t="n">
        <v>651</v>
      </c>
      <c r="B652" s="5" t="s">
        <v>2711</v>
      </c>
      <c r="C652" s="5" t="s">
        <v>1181</v>
      </c>
      <c r="D652" s="5" t="n">
        <v>1</v>
      </c>
      <c r="E652" s="5" t="n">
        <v>0</v>
      </c>
      <c r="F652" s="5" t="n">
        <v>0</v>
      </c>
      <c r="G652" s="5" t="s">
        <v>2712</v>
      </c>
      <c r="H652" s="5" t="s">
        <v>726</v>
      </c>
    </row>
    <row r="653" customFormat="false" ht="15" hidden="false" customHeight="false" outlineLevel="0" collapsed="false">
      <c r="A653" s="5" t="n">
        <v>652</v>
      </c>
      <c r="B653" s="5" t="s">
        <v>2713</v>
      </c>
      <c r="C653" s="5" t="s">
        <v>1181</v>
      </c>
      <c r="D653" s="5" t="n">
        <v>1</v>
      </c>
      <c r="E653" s="5" t="n">
        <v>0</v>
      </c>
      <c r="F653" s="5" t="n">
        <v>0</v>
      </c>
      <c r="G653" s="5" t="s">
        <v>2714</v>
      </c>
      <c r="H653" s="5" t="s">
        <v>433</v>
      </c>
    </row>
    <row r="654" customFormat="false" ht="15" hidden="false" customHeight="false" outlineLevel="0" collapsed="false">
      <c r="A654" s="5" t="n">
        <v>653</v>
      </c>
      <c r="B654" s="5" t="s">
        <v>2715</v>
      </c>
      <c r="C654" s="5" t="s">
        <v>1181</v>
      </c>
      <c r="D654" s="5" t="n">
        <v>1</v>
      </c>
      <c r="E654" s="5" t="n">
        <v>0</v>
      </c>
      <c r="F654" s="5" t="n">
        <v>0</v>
      </c>
      <c r="G654" s="5" t="s">
        <v>2716</v>
      </c>
      <c r="H654" s="5" t="s">
        <v>383</v>
      </c>
    </row>
    <row r="655" customFormat="false" ht="15" hidden="false" customHeight="false" outlineLevel="0" collapsed="false">
      <c r="A655" s="5" t="n">
        <v>654</v>
      </c>
      <c r="B655" s="5" t="s">
        <v>2717</v>
      </c>
      <c r="C655" s="5" t="s">
        <v>1181</v>
      </c>
      <c r="D655" s="5" t="n">
        <v>1</v>
      </c>
      <c r="E655" s="5" t="n">
        <v>0</v>
      </c>
      <c r="F655" s="5" t="n">
        <v>0</v>
      </c>
      <c r="G655" s="5" t="s">
        <v>2718</v>
      </c>
      <c r="H655" s="5" t="s">
        <v>578</v>
      </c>
    </row>
    <row r="656" customFormat="false" ht="15" hidden="false" customHeight="false" outlineLevel="0" collapsed="false">
      <c r="A656" s="5" t="n">
        <v>655</v>
      </c>
      <c r="B656" s="5" t="s">
        <v>2719</v>
      </c>
      <c r="C656" s="5" t="s">
        <v>1181</v>
      </c>
      <c r="D656" s="5" t="n">
        <v>1</v>
      </c>
      <c r="E656" s="5" t="n">
        <v>0</v>
      </c>
      <c r="F656" s="5" t="n">
        <v>0</v>
      </c>
      <c r="G656" s="5" t="s">
        <v>2720</v>
      </c>
      <c r="H656" s="5" t="s">
        <v>467</v>
      </c>
    </row>
    <row r="657" customFormat="false" ht="15" hidden="false" customHeight="false" outlineLevel="0" collapsed="false">
      <c r="A657" s="5" t="n">
        <v>656</v>
      </c>
      <c r="B657" s="5" t="s">
        <v>2721</v>
      </c>
      <c r="C657" s="5" t="s">
        <v>1181</v>
      </c>
      <c r="D657" s="5" t="n">
        <v>1</v>
      </c>
      <c r="E657" s="5" t="n">
        <v>0</v>
      </c>
      <c r="F657" s="5" t="n">
        <v>0</v>
      </c>
      <c r="G657" s="5" t="s">
        <v>2722</v>
      </c>
      <c r="H657" s="5" t="s">
        <v>414</v>
      </c>
    </row>
    <row r="658" customFormat="false" ht="15" hidden="false" customHeight="false" outlineLevel="0" collapsed="false">
      <c r="A658" s="5" t="n">
        <v>657</v>
      </c>
      <c r="B658" s="5" t="s">
        <v>2723</v>
      </c>
      <c r="C658" s="5" t="s">
        <v>1181</v>
      </c>
      <c r="D658" s="5" t="n">
        <v>1</v>
      </c>
      <c r="E658" s="5" t="n">
        <v>0</v>
      </c>
      <c r="F658" s="5" t="n">
        <v>0</v>
      </c>
      <c r="G658" s="5" t="s">
        <v>2724</v>
      </c>
      <c r="H658" s="5" t="s">
        <v>535</v>
      </c>
    </row>
    <row r="659" customFormat="false" ht="15" hidden="false" customHeight="false" outlineLevel="0" collapsed="false">
      <c r="A659" s="5" t="n">
        <v>658</v>
      </c>
      <c r="B659" s="5" t="s">
        <v>2725</v>
      </c>
      <c r="C659" s="5" t="s">
        <v>1181</v>
      </c>
      <c r="D659" s="5" t="n">
        <v>1</v>
      </c>
      <c r="E659" s="5" t="n">
        <v>0</v>
      </c>
      <c r="F659" s="5" t="n">
        <v>0</v>
      </c>
      <c r="G659" s="5" t="s">
        <v>2726</v>
      </c>
      <c r="H659" s="5" t="s">
        <v>733</v>
      </c>
    </row>
    <row r="660" customFormat="false" ht="15" hidden="false" customHeight="false" outlineLevel="0" collapsed="false">
      <c r="A660" s="5" t="n">
        <v>659</v>
      </c>
      <c r="B660" s="5" t="s">
        <v>2727</v>
      </c>
      <c r="C660" s="5" t="s">
        <v>1181</v>
      </c>
      <c r="D660" s="5" t="n">
        <v>1</v>
      </c>
      <c r="E660" s="5" t="n">
        <v>0</v>
      </c>
      <c r="F660" s="5" t="n">
        <v>0</v>
      </c>
      <c r="G660" s="5" t="s">
        <v>2728</v>
      </c>
      <c r="H660" s="5" t="s">
        <v>414</v>
      </c>
    </row>
    <row r="661" customFormat="false" ht="15" hidden="false" customHeight="false" outlineLevel="0" collapsed="false">
      <c r="A661" s="5" t="n">
        <v>660</v>
      </c>
      <c r="B661" s="5" t="s">
        <v>2729</v>
      </c>
      <c r="C661" s="5" t="s">
        <v>1181</v>
      </c>
      <c r="D661" s="5" t="n">
        <v>1</v>
      </c>
      <c r="E661" s="5" t="n">
        <v>0</v>
      </c>
      <c r="F661" s="5" t="n">
        <v>0</v>
      </c>
      <c r="G661" s="5" t="s">
        <v>2730</v>
      </c>
      <c r="H661" s="5" t="s">
        <v>1069</v>
      </c>
    </row>
    <row r="662" customFormat="false" ht="15" hidden="false" customHeight="false" outlineLevel="0" collapsed="false">
      <c r="A662" s="5" t="n">
        <v>661</v>
      </c>
      <c r="B662" s="5" t="s">
        <v>2731</v>
      </c>
      <c r="C662" s="5" t="s">
        <v>1181</v>
      </c>
      <c r="D662" s="5" t="n">
        <v>1</v>
      </c>
      <c r="E662" s="5" t="n">
        <v>0</v>
      </c>
      <c r="F662" s="5" t="n">
        <v>0</v>
      </c>
      <c r="G662" s="5" t="s">
        <v>2732</v>
      </c>
      <c r="H662" s="5" t="s">
        <v>680</v>
      </c>
    </row>
    <row r="663" customFormat="false" ht="15" hidden="false" customHeight="false" outlineLevel="0" collapsed="false">
      <c r="A663" s="5" t="n">
        <v>662</v>
      </c>
      <c r="B663" s="5" t="s">
        <v>2733</v>
      </c>
      <c r="C663" s="5" t="s">
        <v>1181</v>
      </c>
      <c r="D663" s="5" t="n">
        <v>1</v>
      </c>
      <c r="E663" s="5" t="n">
        <v>0</v>
      </c>
      <c r="F663" s="5" t="n">
        <v>0</v>
      </c>
      <c r="G663" s="5" t="s">
        <v>2734</v>
      </c>
      <c r="H663" s="5" t="s">
        <v>611</v>
      </c>
    </row>
    <row r="664" customFormat="false" ht="15" hidden="false" customHeight="false" outlineLevel="0" collapsed="false">
      <c r="A664" s="5" t="n">
        <v>663</v>
      </c>
      <c r="B664" s="5" t="s">
        <v>699</v>
      </c>
      <c r="C664" s="5" t="s">
        <v>1181</v>
      </c>
      <c r="D664" s="5" t="n">
        <v>1</v>
      </c>
      <c r="E664" s="5" t="n">
        <v>0</v>
      </c>
      <c r="F664" s="5" t="n">
        <v>0</v>
      </c>
      <c r="G664" s="5" t="s">
        <v>2735</v>
      </c>
      <c r="H664" s="5" t="s">
        <v>698</v>
      </c>
    </row>
    <row r="665" customFormat="false" ht="15" hidden="false" customHeight="false" outlineLevel="0" collapsed="false">
      <c r="A665" s="5" t="n">
        <v>664</v>
      </c>
      <c r="B665" s="5" t="s">
        <v>2736</v>
      </c>
      <c r="C665" s="5" t="s">
        <v>1181</v>
      </c>
      <c r="D665" s="5" t="n">
        <v>1</v>
      </c>
      <c r="E665" s="5" t="n">
        <v>0</v>
      </c>
      <c r="F665" s="5" t="n">
        <v>0</v>
      </c>
      <c r="G665" s="5" t="s">
        <v>2737</v>
      </c>
      <c r="H665" s="5" t="s">
        <v>94</v>
      </c>
    </row>
    <row r="666" customFormat="false" ht="15" hidden="false" customHeight="false" outlineLevel="0" collapsed="false">
      <c r="A666" s="5" t="n">
        <v>665</v>
      </c>
      <c r="B666" s="5" t="s">
        <v>2738</v>
      </c>
      <c r="C666" s="5" t="s">
        <v>1181</v>
      </c>
      <c r="D666" s="5" t="n">
        <v>1</v>
      </c>
      <c r="E666" s="5" t="n">
        <v>0</v>
      </c>
      <c r="F666" s="5" t="n">
        <v>0</v>
      </c>
      <c r="G666" s="5" t="s">
        <v>2739</v>
      </c>
      <c r="H666" s="5" t="s">
        <v>542</v>
      </c>
    </row>
    <row r="667" customFormat="false" ht="15" hidden="false" customHeight="false" outlineLevel="0" collapsed="false">
      <c r="A667" s="5" t="n">
        <v>666</v>
      </c>
      <c r="B667" s="5" t="s">
        <v>2740</v>
      </c>
      <c r="C667" s="5" t="s">
        <v>1181</v>
      </c>
      <c r="D667" s="5" t="n">
        <v>1</v>
      </c>
      <c r="E667" s="5" t="n">
        <v>0</v>
      </c>
      <c r="F667" s="5" t="n">
        <v>0</v>
      </c>
      <c r="G667" s="5" t="s">
        <v>2741</v>
      </c>
      <c r="H667" s="5" t="s">
        <v>320</v>
      </c>
    </row>
    <row r="668" customFormat="false" ht="15" hidden="false" customHeight="false" outlineLevel="0" collapsed="false">
      <c r="A668" s="5" t="n">
        <v>667</v>
      </c>
      <c r="B668" s="5" t="s">
        <v>2742</v>
      </c>
      <c r="C668" s="5" t="s">
        <v>1181</v>
      </c>
      <c r="D668" s="5" t="n">
        <v>1</v>
      </c>
      <c r="E668" s="5" t="n">
        <v>0</v>
      </c>
      <c r="F668" s="5" t="n">
        <v>0</v>
      </c>
      <c r="G668" s="5" t="s">
        <v>2743</v>
      </c>
      <c r="H668" s="5" t="s">
        <v>592</v>
      </c>
    </row>
    <row r="669" customFormat="false" ht="15" hidden="false" customHeight="false" outlineLevel="0" collapsed="false">
      <c r="A669" s="5" t="n">
        <v>668</v>
      </c>
      <c r="B669" s="5" t="s">
        <v>247</v>
      </c>
      <c r="C669" s="5" t="s">
        <v>1181</v>
      </c>
      <c r="D669" s="5" t="n">
        <v>1</v>
      </c>
      <c r="E669" s="5" t="n">
        <v>0</v>
      </c>
      <c r="F669" s="5" t="n">
        <v>0</v>
      </c>
      <c r="G669" s="5" t="s">
        <v>2744</v>
      </c>
      <c r="H669" s="5" t="s">
        <v>246</v>
      </c>
    </row>
    <row r="670" customFormat="false" ht="15" hidden="false" customHeight="false" outlineLevel="0" collapsed="false">
      <c r="A670" s="5" t="n">
        <v>669</v>
      </c>
      <c r="B670" s="5" t="s">
        <v>2745</v>
      </c>
      <c r="C670" s="5" t="s">
        <v>1181</v>
      </c>
      <c r="D670" s="5" t="n">
        <v>1</v>
      </c>
      <c r="E670" s="5" t="n">
        <v>0</v>
      </c>
      <c r="F670" s="5" t="n">
        <v>0</v>
      </c>
      <c r="G670" s="5" t="s">
        <v>2746</v>
      </c>
      <c r="H670" s="5" t="s">
        <v>763</v>
      </c>
    </row>
    <row r="671" customFormat="false" ht="15" hidden="false" customHeight="false" outlineLevel="0" collapsed="false">
      <c r="A671" s="5" t="n">
        <v>670</v>
      </c>
      <c r="B671" s="5" t="s">
        <v>2747</v>
      </c>
      <c r="C671" s="5" t="s">
        <v>1181</v>
      </c>
      <c r="D671" s="5" t="n">
        <v>1</v>
      </c>
      <c r="E671" s="5" t="n">
        <v>0</v>
      </c>
      <c r="F671" s="5" t="n">
        <v>0</v>
      </c>
      <c r="G671" s="5" t="s">
        <v>2748</v>
      </c>
      <c r="H671" s="5" t="s">
        <v>265</v>
      </c>
    </row>
    <row r="672" customFormat="false" ht="15" hidden="false" customHeight="false" outlineLevel="0" collapsed="false">
      <c r="A672" s="5" t="n">
        <v>671</v>
      </c>
      <c r="B672" s="5" t="s">
        <v>2749</v>
      </c>
      <c r="C672" s="5" t="s">
        <v>1181</v>
      </c>
      <c r="D672" s="5" t="n">
        <v>1</v>
      </c>
      <c r="E672" s="5" t="n">
        <v>0</v>
      </c>
      <c r="F672" s="5" t="n">
        <v>0</v>
      </c>
      <c r="G672" s="5" t="s">
        <v>2750</v>
      </c>
      <c r="H672" s="5" t="s">
        <v>696</v>
      </c>
    </row>
    <row r="673" customFormat="false" ht="15" hidden="false" customHeight="false" outlineLevel="0" collapsed="false">
      <c r="A673" s="5" t="n">
        <v>672</v>
      </c>
      <c r="B673" s="5" t="s">
        <v>2751</v>
      </c>
      <c r="C673" s="5" t="s">
        <v>1176</v>
      </c>
      <c r="D673" s="5" t="n">
        <v>1</v>
      </c>
      <c r="E673" s="5" t="n">
        <v>0</v>
      </c>
      <c r="F673" s="5" t="n">
        <v>0</v>
      </c>
      <c r="G673" s="5" t="s">
        <v>2752</v>
      </c>
      <c r="H673" s="5" t="s">
        <v>728</v>
      </c>
    </row>
    <row r="674" customFormat="false" ht="15" hidden="false" customHeight="false" outlineLevel="0" collapsed="false">
      <c r="A674" s="5" t="n">
        <v>673</v>
      </c>
      <c r="B674" s="5" t="s">
        <v>2753</v>
      </c>
      <c r="C674" s="5" t="s">
        <v>1176</v>
      </c>
      <c r="D674" s="5" t="n">
        <v>1</v>
      </c>
      <c r="E674" s="5" t="n">
        <v>0</v>
      </c>
      <c r="F674" s="5" t="n">
        <v>0</v>
      </c>
      <c r="G674" s="5" t="s">
        <v>2754</v>
      </c>
      <c r="H674" s="5" t="s">
        <v>696</v>
      </c>
    </row>
    <row r="675" customFormat="false" ht="15" hidden="false" customHeight="false" outlineLevel="0" collapsed="false">
      <c r="A675" s="5" t="n">
        <v>674</v>
      </c>
      <c r="B675" s="5" t="s">
        <v>2755</v>
      </c>
      <c r="C675" s="5" t="s">
        <v>1181</v>
      </c>
      <c r="D675" s="5" t="n">
        <v>1</v>
      </c>
      <c r="E675" s="5" t="n">
        <v>0</v>
      </c>
      <c r="F675" s="5" t="n">
        <v>0</v>
      </c>
      <c r="G675" s="5" t="s">
        <v>2756</v>
      </c>
      <c r="H675" s="5" t="s">
        <v>589</v>
      </c>
    </row>
    <row r="676" customFormat="false" ht="15" hidden="false" customHeight="false" outlineLevel="0" collapsed="false">
      <c r="A676" s="5" t="n">
        <v>675</v>
      </c>
      <c r="B676" s="5" t="s">
        <v>2757</v>
      </c>
      <c r="C676" s="5" t="s">
        <v>1181</v>
      </c>
      <c r="D676" s="5" t="n">
        <v>1</v>
      </c>
      <c r="E676" s="5" t="n">
        <v>0</v>
      </c>
      <c r="F676" s="5" t="n">
        <v>0</v>
      </c>
      <c r="G676" s="5" t="s">
        <v>2758</v>
      </c>
      <c r="H676" s="5" t="s">
        <v>994</v>
      </c>
    </row>
    <row r="677" customFormat="false" ht="15" hidden="false" customHeight="false" outlineLevel="0" collapsed="false">
      <c r="A677" s="5" t="n">
        <v>676</v>
      </c>
      <c r="B677" s="5" t="s">
        <v>2759</v>
      </c>
      <c r="C677" s="5" t="s">
        <v>1181</v>
      </c>
      <c r="D677" s="5" t="n">
        <v>1</v>
      </c>
      <c r="E677" s="5" t="n">
        <v>0</v>
      </c>
      <c r="F677" s="5" t="n">
        <v>0</v>
      </c>
      <c r="G677" s="5" t="s">
        <v>2760</v>
      </c>
      <c r="H677" s="5" t="s">
        <v>118</v>
      </c>
    </row>
    <row r="678" customFormat="false" ht="15" hidden="false" customHeight="false" outlineLevel="0" collapsed="false">
      <c r="A678" s="5" t="n">
        <v>677</v>
      </c>
      <c r="B678" s="5" t="s">
        <v>2761</v>
      </c>
      <c r="C678" s="5" t="s">
        <v>1181</v>
      </c>
      <c r="D678" s="5" t="n">
        <v>1</v>
      </c>
      <c r="E678" s="5" t="n">
        <v>0</v>
      </c>
      <c r="F678" s="5" t="n">
        <v>0</v>
      </c>
      <c r="G678" s="5" t="s">
        <v>2762</v>
      </c>
      <c r="H678" s="5" t="s">
        <v>514</v>
      </c>
    </row>
    <row r="679" customFormat="false" ht="15" hidden="false" customHeight="false" outlineLevel="0" collapsed="false">
      <c r="A679" s="5" t="n">
        <v>678</v>
      </c>
      <c r="B679" s="5" t="s">
        <v>2763</v>
      </c>
      <c r="C679" s="5" t="s">
        <v>1181</v>
      </c>
      <c r="D679" s="5" t="n">
        <v>1</v>
      </c>
      <c r="E679" s="5" t="n">
        <v>0</v>
      </c>
      <c r="F679" s="5" t="n">
        <v>0</v>
      </c>
      <c r="G679" s="5" t="s">
        <v>2764</v>
      </c>
      <c r="H679" s="5" t="s">
        <v>775</v>
      </c>
    </row>
    <row r="680" customFormat="false" ht="15" hidden="false" customHeight="false" outlineLevel="0" collapsed="false">
      <c r="A680" s="5" t="n">
        <v>679</v>
      </c>
      <c r="B680" s="5" t="s">
        <v>2765</v>
      </c>
      <c r="C680" s="5" t="s">
        <v>1181</v>
      </c>
      <c r="D680" s="5" t="n">
        <v>1</v>
      </c>
      <c r="E680" s="5" t="n">
        <v>0</v>
      </c>
      <c r="F680" s="5" t="n">
        <v>0</v>
      </c>
      <c r="G680" s="5" t="s">
        <v>2766</v>
      </c>
      <c r="H680" s="5" t="s">
        <v>1015</v>
      </c>
    </row>
    <row r="681" customFormat="false" ht="15" hidden="false" customHeight="false" outlineLevel="0" collapsed="false">
      <c r="A681" s="5" t="n">
        <v>680</v>
      </c>
      <c r="B681" s="5" t="s">
        <v>2767</v>
      </c>
      <c r="C681" s="5" t="s">
        <v>1181</v>
      </c>
      <c r="D681" s="5" t="n">
        <v>1</v>
      </c>
      <c r="E681" s="5" t="n">
        <v>0</v>
      </c>
      <c r="F681" s="5" t="n">
        <v>0</v>
      </c>
      <c r="G681" s="5" t="s">
        <v>2768</v>
      </c>
      <c r="H681" s="5" t="s">
        <v>324</v>
      </c>
    </row>
    <row r="682" customFormat="false" ht="15" hidden="false" customHeight="false" outlineLevel="0" collapsed="false">
      <c r="A682" s="5" t="n">
        <v>681</v>
      </c>
      <c r="B682" s="5" t="s">
        <v>2769</v>
      </c>
      <c r="C682" s="5" t="s">
        <v>1181</v>
      </c>
      <c r="D682" s="5" t="n">
        <v>1</v>
      </c>
      <c r="E682" s="5" t="n">
        <v>0</v>
      </c>
      <c r="F682" s="5" t="n">
        <v>0</v>
      </c>
      <c r="G682" s="5" t="s">
        <v>2770</v>
      </c>
      <c r="H682" s="5" t="s">
        <v>772</v>
      </c>
    </row>
    <row r="683" customFormat="false" ht="15" hidden="false" customHeight="false" outlineLevel="0" collapsed="false">
      <c r="A683" s="5" t="n">
        <v>682</v>
      </c>
      <c r="B683" s="5" t="s">
        <v>2771</v>
      </c>
      <c r="C683" s="5" t="s">
        <v>1181</v>
      </c>
      <c r="D683" s="5" t="n">
        <v>1</v>
      </c>
      <c r="E683" s="5" t="n">
        <v>0</v>
      </c>
      <c r="F683" s="5" t="n">
        <v>0</v>
      </c>
      <c r="G683" s="5" t="s">
        <v>2772</v>
      </c>
      <c r="H683" s="5" t="s">
        <v>764</v>
      </c>
    </row>
    <row r="684" customFormat="false" ht="15" hidden="false" customHeight="false" outlineLevel="0" collapsed="false">
      <c r="A684" s="5" t="n">
        <v>683</v>
      </c>
      <c r="B684" s="5" t="s">
        <v>2773</v>
      </c>
      <c r="C684" s="5" t="s">
        <v>1181</v>
      </c>
      <c r="D684" s="5" t="n">
        <v>1</v>
      </c>
      <c r="E684" s="5" t="n">
        <v>0</v>
      </c>
      <c r="F684" s="5" t="n">
        <v>0</v>
      </c>
      <c r="G684" s="5" t="s">
        <v>2774</v>
      </c>
      <c r="H684" s="5" t="s">
        <v>630</v>
      </c>
    </row>
    <row r="685" customFormat="false" ht="15" hidden="false" customHeight="false" outlineLevel="0" collapsed="false">
      <c r="A685" s="5" t="n">
        <v>684</v>
      </c>
      <c r="B685" s="5" t="s">
        <v>2775</v>
      </c>
      <c r="C685" s="5" t="s">
        <v>1181</v>
      </c>
      <c r="D685" s="5" t="n">
        <v>1</v>
      </c>
      <c r="E685" s="5" t="n">
        <v>0</v>
      </c>
      <c r="F685" s="5" t="n">
        <v>0</v>
      </c>
      <c r="G685" s="5" t="s">
        <v>2776</v>
      </c>
      <c r="H685" s="5" t="s">
        <v>712</v>
      </c>
    </row>
    <row r="686" customFormat="false" ht="15" hidden="false" customHeight="false" outlineLevel="0" collapsed="false">
      <c r="A686" s="5" t="n">
        <v>685</v>
      </c>
      <c r="B686" s="5" t="s">
        <v>2777</v>
      </c>
      <c r="C686" s="5" t="s">
        <v>1181</v>
      </c>
      <c r="D686" s="5" t="n">
        <v>1</v>
      </c>
      <c r="E686" s="5" t="n">
        <v>0</v>
      </c>
      <c r="F686" s="5" t="n">
        <v>0</v>
      </c>
      <c r="G686" s="5" t="s">
        <v>2778</v>
      </c>
      <c r="H686" s="5" t="s">
        <v>63</v>
      </c>
    </row>
    <row r="687" customFormat="false" ht="15" hidden="false" customHeight="false" outlineLevel="0" collapsed="false">
      <c r="A687" s="5" t="n">
        <v>686</v>
      </c>
      <c r="B687" s="5" t="s">
        <v>859</v>
      </c>
      <c r="C687" s="5" t="s">
        <v>1181</v>
      </c>
      <c r="D687" s="5" t="n">
        <v>1</v>
      </c>
      <c r="E687" s="5" t="n">
        <v>0</v>
      </c>
      <c r="F687" s="5" t="n">
        <v>0</v>
      </c>
      <c r="G687" s="5" t="s">
        <v>2779</v>
      </c>
      <c r="H687" s="5" t="s">
        <v>858</v>
      </c>
    </row>
    <row r="688" customFormat="false" ht="15" hidden="false" customHeight="false" outlineLevel="0" collapsed="false">
      <c r="A688" s="5" t="n">
        <v>687</v>
      </c>
      <c r="B688" s="5" t="s">
        <v>2780</v>
      </c>
      <c r="C688" s="5" t="s">
        <v>1181</v>
      </c>
      <c r="D688" s="5" t="n">
        <v>1</v>
      </c>
      <c r="E688" s="5" t="n">
        <v>0</v>
      </c>
      <c r="F688" s="5" t="n">
        <v>0</v>
      </c>
      <c r="G688" s="5" t="s">
        <v>2781</v>
      </c>
      <c r="H688" s="5" t="s">
        <v>1098</v>
      </c>
    </row>
    <row r="689" customFormat="false" ht="15" hidden="false" customHeight="false" outlineLevel="0" collapsed="false">
      <c r="A689" s="5" t="n">
        <v>688</v>
      </c>
      <c r="B689" s="5" t="s">
        <v>398</v>
      </c>
      <c r="C689" s="5" t="s">
        <v>1181</v>
      </c>
      <c r="D689" s="5" t="n">
        <v>1</v>
      </c>
      <c r="E689" s="5" t="n">
        <v>0</v>
      </c>
      <c r="F689" s="5" t="n">
        <v>0</v>
      </c>
      <c r="G689" s="5" t="s">
        <v>2782</v>
      </c>
      <c r="H689" s="5" t="s">
        <v>397</v>
      </c>
    </row>
    <row r="690" customFormat="false" ht="15" hidden="false" customHeight="false" outlineLevel="0" collapsed="false">
      <c r="A690" s="5" t="n">
        <v>689</v>
      </c>
      <c r="B690" s="5" t="s">
        <v>2783</v>
      </c>
      <c r="C690" s="5" t="s">
        <v>1181</v>
      </c>
      <c r="D690" s="5" t="n">
        <v>1</v>
      </c>
      <c r="E690" s="5" t="n">
        <v>0</v>
      </c>
      <c r="F690" s="5" t="n">
        <v>0</v>
      </c>
      <c r="G690" s="5" t="s">
        <v>2784</v>
      </c>
      <c r="H690" s="5" t="s">
        <v>824</v>
      </c>
    </row>
    <row r="691" customFormat="false" ht="15" hidden="false" customHeight="false" outlineLevel="0" collapsed="false">
      <c r="A691" s="5" t="n">
        <v>690</v>
      </c>
      <c r="B691" s="5" t="s">
        <v>2785</v>
      </c>
      <c r="C691" s="5" t="s">
        <v>1181</v>
      </c>
      <c r="D691" s="5" t="n">
        <v>1</v>
      </c>
      <c r="E691" s="5" t="n">
        <v>0</v>
      </c>
      <c r="F691" s="5" t="n">
        <v>0</v>
      </c>
      <c r="G691" s="5" t="s">
        <v>2786</v>
      </c>
      <c r="H691" s="5" t="s">
        <v>726</v>
      </c>
    </row>
    <row r="692" customFormat="false" ht="15" hidden="false" customHeight="false" outlineLevel="0" collapsed="false">
      <c r="A692" s="5" t="n">
        <v>691</v>
      </c>
      <c r="B692" s="5" t="s">
        <v>2787</v>
      </c>
      <c r="C692" s="5" t="s">
        <v>1181</v>
      </c>
      <c r="D692" s="5" t="n">
        <v>1</v>
      </c>
      <c r="E692" s="5" t="n">
        <v>0</v>
      </c>
      <c r="F692" s="5" t="n">
        <v>0</v>
      </c>
      <c r="G692" s="5" t="s">
        <v>2788</v>
      </c>
      <c r="H692" s="5" t="s">
        <v>775</v>
      </c>
    </row>
    <row r="693" customFormat="false" ht="15" hidden="false" customHeight="false" outlineLevel="0" collapsed="false">
      <c r="A693" s="5" t="n">
        <v>692</v>
      </c>
      <c r="B693" s="5" t="s">
        <v>2789</v>
      </c>
      <c r="C693" s="5" t="s">
        <v>1181</v>
      </c>
      <c r="D693" s="5" t="n">
        <v>1</v>
      </c>
      <c r="E693" s="5" t="n">
        <v>0</v>
      </c>
      <c r="F693" s="5" t="n">
        <v>0</v>
      </c>
      <c r="G693" s="5" t="s">
        <v>2790</v>
      </c>
      <c r="H693" s="5" t="s">
        <v>622</v>
      </c>
    </row>
    <row r="694" customFormat="false" ht="15" hidden="false" customHeight="false" outlineLevel="0" collapsed="false">
      <c r="A694" s="5" t="n">
        <v>693</v>
      </c>
      <c r="B694" s="5" t="s">
        <v>638</v>
      </c>
      <c r="C694" s="5" t="s">
        <v>1181</v>
      </c>
      <c r="D694" s="5" t="n">
        <v>1</v>
      </c>
      <c r="E694" s="5" t="n">
        <v>0</v>
      </c>
      <c r="F694" s="5" t="n">
        <v>0</v>
      </c>
      <c r="G694" s="5" t="s">
        <v>2791</v>
      </c>
      <c r="H694" s="5" t="s">
        <v>637</v>
      </c>
    </row>
    <row r="695" customFormat="false" ht="15" hidden="false" customHeight="false" outlineLevel="0" collapsed="false">
      <c r="A695" s="5" t="n">
        <v>694</v>
      </c>
      <c r="B695" s="5" t="s">
        <v>2792</v>
      </c>
      <c r="C695" s="5" t="s">
        <v>1181</v>
      </c>
      <c r="D695" s="5" t="n">
        <v>1</v>
      </c>
      <c r="E695" s="5" t="n">
        <v>0</v>
      </c>
      <c r="F695" s="5" t="n">
        <v>0</v>
      </c>
      <c r="G695" s="5" t="s">
        <v>2793</v>
      </c>
      <c r="H695" s="5" t="s">
        <v>516</v>
      </c>
    </row>
    <row r="696" customFormat="false" ht="15" hidden="false" customHeight="false" outlineLevel="0" collapsed="false">
      <c r="A696" s="5" t="n">
        <v>695</v>
      </c>
      <c r="B696" s="5" t="s">
        <v>2794</v>
      </c>
      <c r="C696" s="5" t="s">
        <v>1181</v>
      </c>
      <c r="D696" s="5" t="n">
        <v>1</v>
      </c>
      <c r="E696" s="5" t="n">
        <v>0</v>
      </c>
      <c r="F696" s="5" t="n">
        <v>0</v>
      </c>
      <c r="G696" s="5" t="s">
        <v>2795</v>
      </c>
      <c r="H696" s="5" t="s">
        <v>981</v>
      </c>
    </row>
    <row r="697" customFormat="false" ht="15" hidden="false" customHeight="false" outlineLevel="0" collapsed="false">
      <c r="A697" s="5" t="n">
        <v>696</v>
      </c>
      <c r="B697" s="5" t="s">
        <v>574</v>
      </c>
      <c r="C697" s="5" t="s">
        <v>1181</v>
      </c>
      <c r="D697" s="5" t="n">
        <v>1</v>
      </c>
      <c r="E697" s="5" t="n">
        <v>0</v>
      </c>
      <c r="F697" s="5" t="n">
        <v>0</v>
      </c>
      <c r="G697" s="5" t="s">
        <v>2796</v>
      </c>
      <c r="H697" s="5" t="s">
        <v>573</v>
      </c>
    </row>
    <row r="698" customFormat="false" ht="15" hidden="false" customHeight="false" outlineLevel="0" collapsed="false">
      <c r="A698" s="5" t="n">
        <v>697</v>
      </c>
      <c r="B698" s="5" t="s">
        <v>774</v>
      </c>
      <c r="C698" s="5" t="s">
        <v>1181</v>
      </c>
      <c r="D698" s="5" t="n">
        <v>1</v>
      </c>
      <c r="E698" s="5" t="n">
        <v>0</v>
      </c>
      <c r="F698" s="5" t="n">
        <v>0</v>
      </c>
      <c r="G698" s="5" t="s">
        <v>2797</v>
      </c>
      <c r="H698" s="5" t="s">
        <v>772</v>
      </c>
    </row>
    <row r="699" customFormat="false" ht="15" hidden="false" customHeight="false" outlineLevel="0" collapsed="false">
      <c r="A699" s="5" t="n">
        <v>698</v>
      </c>
      <c r="B699" s="5" t="s">
        <v>2798</v>
      </c>
      <c r="C699" s="5" t="s">
        <v>1181</v>
      </c>
      <c r="D699" s="5" t="n">
        <v>1</v>
      </c>
      <c r="E699" s="5" t="n">
        <v>0</v>
      </c>
      <c r="F699" s="5" t="n">
        <v>0</v>
      </c>
      <c r="G699" s="5" t="s">
        <v>2799</v>
      </c>
      <c r="H699" s="5" t="s">
        <v>144</v>
      </c>
    </row>
    <row r="700" customFormat="false" ht="15" hidden="false" customHeight="false" outlineLevel="0" collapsed="false">
      <c r="A700" s="5" t="n">
        <v>699</v>
      </c>
      <c r="B700" s="5" t="s">
        <v>2800</v>
      </c>
      <c r="C700" s="5" t="s">
        <v>1181</v>
      </c>
      <c r="D700" s="5" t="n">
        <v>1</v>
      </c>
      <c r="E700" s="5" t="n">
        <v>0</v>
      </c>
      <c r="F700" s="5" t="n">
        <v>0</v>
      </c>
      <c r="G700" s="5" t="s">
        <v>2801</v>
      </c>
      <c r="H700" s="5" t="s">
        <v>308</v>
      </c>
    </row>
    <row r="701" customFormat="false" ht="15" hidden="false" customHeight="false" outlineLevel="0" collapsed="false">
      <c r="A701" s="5" t="n">
        <v>700</v>
      </c>
      <c r="B701" s="5" t="s">
        <v>2802</v>
      </c>
      <c r="C701" s="5" t="s">
        <v>1181</v>
      </c>
      <c r="D701" s="5" t="n">
        <v>1</v>
      </c>
      <c r="E701" s="5" t="n">
        <v>0</v>
      </c>
      <c r="F701" s="5" t="n">
        <v>0</v>
      </c>
      <c r="G701" s="5" t="s">
        <v>2803</v>
      </c>
      <c r="H701" s="5" t="s">
        <v>1134</v>
      </c>
    </row>
    <row r="702" customFormat="false" ht="15" hidden="false" customHeight="false" outlineLevel="0" collapsed="false">
      <c r="A702" s="5" t="n">
        <v>701</v>
      </c>
      <c r="B702" s="5" t="s">
        <v>2804</v>
      </c>
      <c r="C702" s="5" t="s">
        <v>1181</v>
      </c>
      <c r="D702" s="5" t="n">
        <v>1</v>
      </c>
      <c r="E702" s="5" t="n">
        <v>0</v>
      </c>
      <c r="F702" s="5" t="n">
        <v>0</v>
      </c>
      <c r="G702" s="5" t="s">
        <v>2805</v>
      </c>
      <c r="H702" s="5" t="s">
        <v>535</v>
      </c>
    </row>
    <row r="703" customFormat="false" ht="15" hidden="false" customHeight="false" outlineLevel="0" collapsed="false">
      <c r="A703" s="5" t="n">
        <v>702</v>
      </c>
      <c r="B703" s="5" t="s">
        <v>2806</v>
      </c>
      <c r="C703" s="5" t="s">
        <v>1181</v>
      </c>
      <c r="D703" s="5" t="n">
        <v>1</v>
      </c>
      <c r="E703" s="5" t="n">
        <v>0</v>
      </c>
      <c r="F703" s="5" t="n">
        <v>0</v>
      </c>
      <c r="G703" s="5" t="s">
        <v>2807</v>
      </c>
      <c r="H703" s="5" t="s">
        <v>749</v>
      </c>
    </row>
    <row r="704" customFormat="false" ht="15" hidden="false" customHeight="false" outlineLevel="0" collapsed="false">
      <c r="A704" s="5" t="n">
        <v>703</v>
      </c>
      <c r="B704" s="5" t="s">
        <v>2808</v>
      </c>
      <c r="C704" s="5" t="s">
        <v>1181</v>
      </c>
      <c r="D704" s="5" t="n">
        <v>1</v>
      </c>
      <c r="E704" s="5" t="n">
        <v>0</v>
      </c>
      <c r="F704" s="5" t="n">
        <v>0</v>
      </c>
      <c r="G704" s="5" t="s">
        <v>2809</v>
      </c>
      <c r="H704" s="5" t="s">
        <v>589</v>
      </c>
    </row>
    <row r="705" customFormat="false" ht="15" hidden="false" customHeight="false" outlineLevel="0" collapsed="false">
      <c r="A705" s="5" t="n">
        <v>704</v>
      </c>
      <c r="B705" s="5" t="s">
        <v>2810</v>
      </c>
      <c r="C705" s="5" t="s">
        <v>1181</v>
      </c>
      <c r="D705" s="5" t="n">
        <v>1</v>
      </c>
      <c r="E705" s="5" t="n">
        <v>0</v>
      </c>
      <c r="F705" s="5" t="n">
        <v>0</v>
      </c>
      <c r="G705" s="5" t="s">
        <v>2811</v>
      </c>
      <c r="H705" s="5" t="s">
        <v>825</v>
      </c>
    </row>
    <row r="706" customFormat="false" ht="15" hidden="false" customHeight="false" outlineLevel="0" collapsed="false">
      <c r="A706" s="5" t="n">
        <v>705</v>
      </c>
      <c r="B706" s="5" t="s">
        <v>2812</v>
      </c>
      <c r="C706" s="5" t="s">
        <v>1176</v>
      </c>
      <c r="D706" s="5" t="n">
        <v>1</v>
      </c>
      <c r="E706" s="5" t="n">
        <v>0</v>
      </c>
      <c r="F706" s="5" t="n">
        <v>0</v>
      </c>
      <c r="G706" s="5" t="s">
        <v>2813</v>
      </c>
      <c r="H706" s="5" t="s">
        <v>1085</v>
      </c>
    </row>
    <row r="707" customFormat="false" ht="15" hidden="false" customHeight="false" outlineLevel="0" collapsed="false">
      <c r="A707" s="5" t="n">
        <v>706</v>
      </c>
      <c r="B707" s="5" t="s">
        <v>2814</v>
      </c>
      <c r="C707" s="5" t="s">
        <v>1181</v>
      </c>
      <c r="D707" s="5" t="n">
        <v>1</v>
      </c>
      <c r="E707" s="5" t="n">
        <v>0</v>
      </c>
      <c r="F707" s="5" t="n">
        <v>0</v>
      </c>
      <c r="G707" s="5" t="s">
        <v>2815</v>
      </c>
      <c r="H707" s="5" t="s">
        <v>535</v>
      </c>
    </row>
    <row r="708" customFormat="false" ht="15" hidden="false" customHeight="false" outlineLevel="0" collapsed="false">
      <c r="A708" s="5" t="n">
        <v>707</v>
      </c>
      <c r="B708" s="5" t="s">
        <v>2816</v>
      </c>
      <c r="C708" s="5" t="s">
        <v>1181</v>
      </c>
      <c r="D708" s="5" t="n">
        <v>1</v>
      </c>
      <c r="E708" s="5" t="n">
        <v>0</v>
      </c>
      <c r="F708" s="5" t="n">
        <v>0</v>
      </c>
      <c r="G708" s="5" t="s">
        <v>2817</v>
      </c>
      <c r="H708" s="5" t="s">
        <v>1084</v>
      </c>
    </row>
    <row r="709" customFormat="false" ht="15" hidden="false" customHeight="false" outlineLevel="0" collapsed="false">
      <c r="A709" s="5" t="n">
        <v>708</v>
      </c>
      <c r="B709" s="5" t="s">
        <v>2818</v>
      </c>
      <c r="C709" s="5" t="s">
        <v>1181</v>
      </c>
      <c r="D709" s="5" t="n">
        <v>1</v>
      </c>
      <c r="E709" s="5" t="n">
        <v>0</v>
      </c>
      <c r="F709" s="5" t="n">
        <v>0</v>
      </c>
      <c r="G709" s="5" t="s">
        <v>2819</v>
      </c>
      <c r="H709" s="5" t="s">
        <v>633</v>
      </c>
    </row>
    <row r="710" customFormat="false" ht="15" hidden="false" customHeight="false" outlineLevel="0" collapsed="false">
      <c r="A710" s="5" t="n">
        <v>709</v>
      </c>
      <c r="B710" s="5" t="s">
        <v>2820</v>
      </c>
      <c r="C710" s="5" t="s">
        <v>1181</v>
      </c>
      <c r="D710" s="5" t="n">
        <v>1</v>
      </c>
      <c r="E710" s="5" t="n">
        <v>0</v>
      </c>
      <c r="F710" s="5" t="n">
        <v>0</v>
      </c>
      <c r="G710" s="5" t="s">
        <v>2821</v>
      </c>
      <c r="H710" s="5" t="s">
        <v>640</v>
      </c>
    </row>
    <row r="711" customFormat="false" ht="15" hidden="false" customHeight="false" outlineLevel="0" collapsed="false">
      <c r="A711" s="5" t="n">
        <v>710</v>
      </c>
      <c r="B711" s="5" t="s">
        <v>2822</v>
      </c>
      <c r="C711" s="5" t="s">
        <v>1181</v>
      </c>
      <c r="D711" s="5" t="n">
        <v>1</v>
      </c>
      <c r="E711" s="5" t="n">
        <v>0</v>
      </c>
      <c r="F711" s="5" t="n">
        <v>0</v>
      </c>
      <c r="G711" s="5" t="s">
        <v>2823</v>
      </c>
      <c r="H711" s="5" t="s">
        <v>192</v>
      </c>
    </row>
    <row r="712" customFormat="false" ht="15" hidden="false" customHeight="false" outlineLevel="0" collapsed="false">
      <c r="A712" s="5" t="n">
        <v>711</v>
      </c>
      <c r="B712" s="5" t="s">
        <v>2824</v>
      </c>
      <c r="C712" s="5" t="s">
        <v>1181</v>
      </c>
      <c r="D712" s="5" t="n">
        <v>1</v>
      </c>
      <c r="E712" s="5" t="n">
        <v>0</v>
      </c>
      <c r="F712" s="5" t="n">
        <v>0</v>
      </c>
      <c r="G712" s="5" t="s">
        <v>2825</v>
      </c>
      <c r="H712" s="5" t="s">
        <v>642</v>
      </c>
    </row>
    <row r="713" customFormat="false" ht="15" hidden="false" customHeight="false" outlineLevel="0" collapsed="false">
      <c r="A713" s="5" t="n">
        <v>712</v>
      </c>
      <c r="B713" s="5" t="s">
        <v>2826</v>
      </c>
      <c r="C713" s="5" t="s">
        <v>1181</v>
      </c>
      <c r="D713" s="5" t="n">
        <v>1</v>
      </c>
      <c r="E713" s="5" t="n">
        <v>0</v>
      </c>
      <c r="F713" s="5" t="n">
        <v>0</v>
      </c>
      <c r="G713" s="5" t="s">
        <v>2827</v>
      </c>
      <c r="H713" s="5" t="s">
        <v>622</v>
      </c>
    </row>
    <row r="714" customFormat="false" ht="15" hidden="false" customHeight="false" outlineLevel="0" collapsed="false">
      <c r="A714" s="5" t="n">
        <v>713</v>
      </c>
      <c r="B714" s="5" t="s">
        <v>2828</v>
      </c>
      <c r="C714" s="5" t="s">
        <v>1181</v>
      </c>
      <c r="D714" s="5" t="n">
        <v>1</v>
      </c>
      <c r="E714" s="5" t="n">
        <v>0</v>
      </c>
      <c r="F714" s="5" t="n">
        <v>0</v>
      </c>
      <c r="G714" s="5" t="s">
        <v>2829</v>
      </c>
      <c r="H714" s="5" t="s">
        <v>1084</v>
      </c>
    </row>
    <row r="715" customFormat="false" ht="15" hidden="false" customHeight="false" outlineLevel="0" collapsed="false">
      <c r="A715" s="5" t="n">
        <v>714</v>
      </c>
      <c r="B715" s="5" t="s">
        <v>2830</v>
      </c>
      <c r="C715" s="5" t="s">
        <v>1181</v>
      </c>
      <c r="D715" s="5" t="n">
        <v>1</v>
      </c>
      <c r="E715" s="5" t="n">
        <v>0</v>
      </c>
      <c r="F715" s="5" t="n">
        <v>0</v>
      </c>
      <c r="G715" s="5" t="s">
        <v>2831</v>
      </c>
      <c r="H715" s="5" t="s">
        <v>606</v>
      </c>
    </row>
    <row r="716" customFormat="false" ht="15" hidden="false" customHeight="false" outlineLevel="0" collapsed="false">
      <c r="A716" s="5" t="n">
        <v>715</v>
      </c>
      <c r="B716" s="5" t="s">
        <v>2832</v>
      </c>
      <c r="C716" s="5" t="s">
        <v>1181</v>
      </c>
      <c r="D716" s="5" t="n">
        <v>1</v>
      </c>
      <c r="E716" s="5" t="n">
        <v>0</v>
      </c>
      <c r="F716" s="5" t="n">
        <v>0</v>
      </c>
      <c r="G716" s="5" t="s">
        <v>2833</v>
      </c>
      <c r="H716" s="5" t="s">
        <v>622</v>
      </c>
    </row>
    <row r="717" customFormat="false" ht="15" hidden="false" customHeight="false" outlineLevel="0" collapsed="false">
      <c r="A717" s="5" t="n">
        <v>716</v>
      </c>
      <c r="B717" s="5" t="s">
        <v>2834</v>
      </c>
      <c r="C717" s="5" t="s">
        <v>1181</v>
      </c>
      <c r="D717" s="5" t="n">
        <v>1</v>
      </c>
      <c r="E717" s="5" t="n">
        <v>0</v>
      </c>
      <c r="F717" s="5" t="n">
        <v>0</v>
      </c>
      <c r="G717" s="5" t="s">
        <v>2835</v>
      </c>
      <c r="H717" s="5" t="s">
        <v>516</v>
      </c>
    </row>
    <row r="718" customFormat="false" ht="15" hidden="false" customHeight="false" outlineLevel="0" collapsed="false">
      <c r="A718" s="5" t="n">
        <v>717</v>
      </c>
      <c r="B718" s="5" t="s">
        <v>2836</v>
      </c>
      <c r="C718" s="5" t="s">
        <v>1181</v>
      </c>
      <c r="D718" s="5" t="n">
        <v>1</v>
      </c>
      <c r="E718" s="5" t="n">
        <v>0</v>
      </c>
      <c r="F718" s="5" t="n">
        <v>0</v>
      </c>
      <c r="G718" s="5" t="s">
        <v>2837</v>
      </c>
      <c r="H718" s="5" t="s">
        <v>529</v>
      </c>
    </row>
    <row r="719" customFormat="false" ht="15" hidden="false" customHeight="false" outlineLevel="0" collapsed="false">
      <c r="A719" s="5" t="n">
        <v>718</v>
      </c>
      <c r="B719" s="5" t="s">
        <v>2838</v>
      </c>
      <c r="C719" s="5" t="s">
        <v>1181</v>
      </c>
      <c r="D719" s="5" t="n">
        <v>1</v>
      </c>
      <c r="E719" s="5" t="n">
        <v>0</v>
      </c>
      <c r="F719" s="5" t="n">
        <v>0</v>
      </c>
      <c r="G719" s="5" t="s">
        <v>2839</v>
      </c>
      <c r="H719" s="5" t="s">
        <v>659</v>
      </c>
    </row>
    <row r="720" customFormat="false" ht="15" hidden="false" customHeight="false" outlineLevel="0" collapsed="false">
      <c r="A720" s="5" t="n">
        <v>719</v>
      </c>
      <c r="B720" s="5" t="s">
        <v>2840</v>
      </c>
      <c r="C720" s="5" t="s">
        <v>1181</v>
      </c>
      <c r="D720" s="5" t="n">
        <v>1</v>
      </c>
      <c r="E720" s="5" t="n">
        <v>0</v>
      </c>
      <c r="F720" s="5" t="n">
        <v>0</v>
      </c>
      <c r="G720" s="5" t="s">
        <v>2841</v>
      </c>
      <c r="H720" s="5" t="s">
        <v>619</v>
      </c>
    </row>
    <row r="721" customFormat="false" ht="15" hidden="false" customHeight="false" outlineLevel="0" collapsed="false">
      <c r="A721" s="5" t="n">
        <v>720</v>
      </c>
      <c r="B721" s="5" t="s">
        <v>2842</v>
      </c>
      <c r="C721" s="5" t="s">
        <v>1181</v>
      </c>
      <c r="D721" s="5" t="n">
        <v>1</v>
      </c>
      <c r="E721" s="5" t="n">
        <v>0</v>
      </c>
      <c r="F721" s="5" t="n">
        <v>0</v>
      </c>
      <c r="G721" s="5" t="s">
        <v>2843</v>
      </c>
      <c r="H721" s="5" t="s">
        <v>747</v>
      </c>
    </row>
    <row r="722" customFormat="false" ht="15" hidden="false" customHeight="false" outlineLevel="0" collapsed="false">
      <c r="A722" s="5" t="n">
        <v>721</v>
      </c>
      <c r="B722" s="5" t="s">
        <v>1099</v>
      </c>
      <c r="C722" s="5" t="s">
        <v>1181</v>
      </c>
      <c r="D722" s="5" t="n">
        <v>1</v>
      </c>
      <c r="E722" s="5" t="n">
        <v>0</v>
      </c>
      <c r="F722" s="5" t="n">
        <v>0</v>
      </c>
      <c r="G722" s="5" t="s">
        <v>2844</v>
      </c>
      <c r="H722" s="5" t="s">
        <v>1098</v>
      </c>
    </row>
    <row r="723" customFormat="false" ht="15" hidden="false" customHeight="false" outlineLevel="0" collapsed="false">
      <c r="A723" s="5" t="n">
        <v>722</v>
      </c>
      <c r="B723" s="5" t="s">
        <v>2845</v>
      </c>
      <c r="C723" s="5" t="s">
        <v>1176</v>
      </c>
      <c r="D723" s="5" t="n">
        <v>1</v>
      </c>
      <c r="E723" s="5" t="n">
        <v>0</v>
      </c>
      <c r="F723" s="5" t="n">
        <v>0</v>
      </c>
      <c r="G723" s="5" t="s">
        <v>2846</v>
      </c>
      <c r="H723" s="5" t="s">
        <v>1069</v>
      </c>
    </row>
    <row r="724" customFormat="false" ht="15" hidden="false" customHeight="false" outlineLevel="0" collapsed="false">
      <c r="A724" s="5" t="n">
        <v>723</v>
      </c>
      <c r="B724" s="5" t="s">
        <v>2847</v>
      </c>
      <c r="C724" s="5" t="s">
        <v>1181</v>
      </c>
      <c r="D724" s="5" t="n">
        <v>1</v>
      </c>
      <c r="E724" s="5" t="n">
        <v>0</v>
      </c>
      <c r="F724" s="5" t="n">
        <v>0</v>
      </c>
      <c r="G724" s="5" t="s">
        <v>2848</v>
      </c>
      <c r="H724" s="5" t="s">
        <v>423</v>
      </c>
    </row>
    <row r="725" customFormat="false" ht="15" hidden="false" customHeight="false" outlineLevel="0" collapsed="false">
      <c r="A725" s="5" t="n">
        <v>724</v>
      </c>
      <c r="B725" s="5" t="s">
        <v>581</v>
      </c>
      <c r="C725" s="5" t="s">
        <v>1181</v>
      </c>
      <c r="D725" s="5" t="n">
        <v>1</v>
      </c>
      <c r="E725" s="5" t="n">
        <v>0</v>
      </c>
      <c r="F725" s="5" t="n">
        <v>0</v>
      </c>
      <c r="G725" s="5" t="s">
        <v>2849</v>
      </c>
      <c r="H725" s="5" t="s">
        <v>580</v>
      </c>
    </row>
    <row r="726" customFormat="false" ht="15" hidden="false" customHeight="false" outlineLevel="0" collapsed="false">
      <c r="A726" s="5" t="n">
        <v>725</v>
      </c>
      <c r="B726" s="5" t="s">
        <v>2850</v>
      </c>
      <c r="C726" s="5" t="s">
        <v>1181</v>
      </c>
      <c r="D726" s="5" t="n">
        <v>1</v>
      </c>
      <c r="E726" s="5" t="n">
        <v>0</v>
      </c>
      <c r="F726" s="5" t="n">
        <v>0</v>
      </c>
      <c r="G726" s="5" t="s">
        <v>2851</v>
      </c>
      <c r="H726" s="5" t="s">
        <v>804</v>
      </c>
    </row>
    <row r="727" customFormat="false" ht="15" hidden="false" customHeight="false" outlineLevel="0" collapsed="false">
      <c r="A727" s="5" t="n">
        <v>726</v>
      </c>
      <c r="B727" s="5" t="s">
        <v>2852</v>
      </c>
      <c r="C727" s="5" t="s">
        <v>1181</v>
      </c>
      <c r="D727" s="5" t="n">
        <v>1</v>
      </c>
      <c r="E727" s="5" t="n">
        <v>0</v>
      </c>
      <c r="F727" s="5" t="n">
        <v>0</v>
      </c>
      <c r="G727" s="5" t="s">
        <v>2853</v>
      </c>
      <c r="H727" s="5" t="s">
        <v>642</v>
      </c>
    </row>
    <row r="728" customFormat="false" ht="15" hidden="false" customHeight="false" outlineLevel="0" collapsed="false">
      <c r="A728" s="5" t="n">
        <v>727</v>
      </c>
      <c r="B728" s="5" t="s">
        <v>2854</v>
      </c>
      <c r="C728" s="5" t="s">
        <v>1181</v>
      </c>
      <c r="D728" s="5" t="n">
        <v>1</v>
      </c>
      <c r="E728" s="5" t="n">
        <v>0</v>
      </c>
      <c r="F728" s="5" t="n">
        <v>0</v>
      </c>
      <c r="G728" s="5" t="s">
        <v>2855</v>
      </c>
      <c r="H728" s="5" t="s">
        <v>824</v>
      </c>
    </row>
    <row r="729" customFormat="false" ht="15" hidden="false" customHeight="false" outlineLevel="0" collapsed="false">
      <c r="A729" s="5" t="n">
        <v>728</v>
      </c>
      <c r="B729" s="5" t="s">
        <v>2856</v>
      </c>
      <c r="C729" s="5" t="s">
        <v>1181</v>
      </c>
      <c r="D729" s="5" t="n">
        <v>1</v>
      </c>
      <c r="E729" s="5" t="n">
        <v>0</v>
      </c>
      <c r="F729" s="5" t="n">
        <v>0</v>
      </c>
      <c r="G729" s="5" t="s">
        <v>2857</v>
      </c>
      <c r="H729" s="5" t="s">
        <v>637</v>
      </c>
    </row>
    <row r="730" customFormat="false" ht="15" hidden="false" customHeight="false" outlineLevel="0" collapsed="false">
      <c r="A730" s="5" t="n">
        <v>729</v>
      </c>
      <c r="B730" s="5" t="s">
        <v>577</v>
      </c>
      <c r="C730" s="5" t="s">
        <v>1181</v>
      </c>
      <c r="D730" s="5" t="n">
        <v>1</v>
      </c>
      <c r="E730" s="5" t="n">
        <v>0</v>
      </c>
      <c r="F730" s="5" t="n">
        <v>0</v>
      </c>
      <c r="G730" s="5" t="s">
        <v>2858</v>
      </c>
      <c r="H730" s="5" t="s">
        <v>576</v>
      </c>
    </row>
    <row r="731" customFormat="false" ht="15" hidden="false" customHeight="false" outlineLevel="0" collapsed="false">
      <c r="A731" s="5" t="n">
        <v>730</v>
      </c>
      <c r="B731" s="5" t="s">
        <v>2859</v>
      </c>
      <c r="C731" s="5" t="s">
        <v>1181</v>
      </c>
      <c r="D731" s="5" t="n">
        <v>1</v>
      </c>
      <c r="E731" s="5" t="n">
        <v>0</v>
      </c>
      <c r="F731" s="5" t="n">
        <v>0</v>
      </c>
      <c r="G731" s="5" t="s">
        <v>2860</v>
      </c>
      <c r="H731" s="5" t="s">
        <v>640</v>
      </c>
    </row>
    <row r="732" customFormat="false" ht="15" hidden="false" customHeight="false" outlineLevel="0" collapsed="false">
      <c r="A732" s="5" t="n">
        <v>731</v>
      </c>
      <c r="B732" s="5" t="s">
        <v>2861</v>
      </c>
      <c r="C732" s="5" t="s">
        <v>1181</v>
      </c>
      <c r="D732" s="5" t="n">
        <v>1</v>
      </c>
      <c r="E732" s="5" t="n">
        <v>0</v>
      </c>
      <c r="F732" s="5" t="n">
        <v>0</v>
      </c>
      <c r="G732" s="5" t="s">
        <v>2862</v>
      </c>
      <c r="H732" s="5" t="s">
        <v>718</v>
      </c>
    </row>
    <row r="733" customFormat="false" ht="15" hidden="false" customHeight="false" outlineLevel="0" collapsed="false">
      <c r="A733" s="5" t="n">
        <v>732</v>
      </c>
      <c r="B733" s="5" t="s">
        <v>2863</v>
      </c>
      <c r="C733" s="5" t="s">
        <v>1181</v>
      </c>
      <c r="D733" s="5" t="n">
        <v>1</v>
      </c>
      <c r="E733" s="5" t="n">
        <v>0</v>
      </c>
      <c r="F733" s="5" t="n">
        <v>0</v>
      </c>
      <c r="G733" s="5" t="s">
        <v>2864</v>
      </c>
      <c r="H733" s="5" t="s">
        <v>622</v>
      </c>
    </row>
    <row r="734" customFormat="false" ht="15" hidden="false" customHeight="false" outlineLevel="0" collapsed="false">
      <c r="A734" s="5" t="n">
        <v>733</v>
      </c>
      <c r="B734" s="5" t="s">
        <v>2865</v>
      </c>
      <c r="C734" s="5" t="s">
        <v>1181</v>
      </c>
      <c r="D734" s="5" t="n">
        <v>1</v>
      </c>
      <c r="E734" s="5" t="n">
        <v>0</v>
      </c>
      <c r="F734" s="5" t="n">
        <v>0</v>
      </c>
      <c r="G734" s="5" t="s">
        <v>2866</v>
      </c>
      <c r="H734" s="5" t="s">
        <v>640</v>
      </c>
    </row>
    <row r="735" customFormat="false" ht="15" hidden="false" customHeight="false" outlineLevel="0" collapsed="false">
      <c r="A735" s="5" t="n">
        <v>734</v>
      </c>
      <c r="B735" s="5" t="s">
        <v>2867</v>
      </c>
      <c r="C735" s="5" t="s">
        <v>1181</v>
      </c>
      <c r="D735" s="5" t="n">
        <v>1</v>
      </c>
      <c r="E735" s="5" t="n">
        <v>0</v>
      </c>
      <c r="F735" s="5" t="n">
        <v>0</v>
      </c>
      <c r="G735" s="5" t="s">
        <v>2868</v>
      </c>
      <c r="H735" s="5" t="s">
        <v>619</v>
      </c>
    </row>
    <row r="736" customFormat="false" ht="15" hidden="false" customHeight="false" outlineLevel="0" collapsed="false">
      <c r="A736" s="5" t="n">
        <v>735</v>
      </c>
      <c r="B736" s="5" t="s">
        <v>2869</v>
      </c>
      <c r="C736" s="5" t="s">
        <v>1181</v>
      </c>
      <c r="D736" s="5" t="n">
        <v>1</v>
      </c>
      <c r="E736" s="5" t="n">
        <v>0</v>
      </c>
      <c r="F736" s="5" t="n">
        <v>0</v>
      </c>
      <c r="G736" s="5" t="s">
        <v>2870</v>
      </c>
      <c r="H736" s="5" t="s">
        <v>784</v>
      </c>
    </row>
    <row r="737" customFormat="false" ht="15" hidden="false" customHeight="false" outlineLevel="0" collapsed="false">
      <c r="A737" s="5" t="n">
        <v>736</v>
      </c>
      <c r="B737" s="5" t="s">
        <v>415</v>
      </c>
      <c r="C737" s="5" t="s">
        <v>1181</v>
      </c>
      <c r="D737" s="5" t="n">
        <v>1</v>
      </c>
      <c r="E737" s="5" t="n">
        <v>0</v>
      </c>
      <c r="F737" s="5" t="n">
        <v>0</v>
      </c>
      <c r="G737" s="5" t="s">
        <v>2871</v>
      </c>
      <c r="H737" s="5" t="s">
        <v>414</v>
      </c>
    </row>
    <row r="738" customFormat="false" ht="15" hidden="false" customHeight="false" outlineLevel="0" collapsed="false">
      <c r="A738" s="5" t="n">
        <v>737</v>
      </c>
      <c r="B738" s="5" t="s">
        <v>2872</v>
      </c>
      <c r="C738" s="5" t="s">
        <v>1181</v>
      </c>
      <c r="D738" s="5" t="n">
        <v>1</v>
      </c>
      <c r="E738" s="5" t="n">
        <v>0</v>
      </c>
      <c r="F738" s="5" t="n">
        <v>0</v>
      </c>
      <c r="G738" s="5" t="s">
        <v>2873</v>
      </c>
      <c r="H738" s="5" t="s">
        <v>640</v>
      </c>
    </row>
    <row r="739" customFormat="false" ht="15" hidden="false" customHeight="false" outlineLevel="0" collapsed="false">
      <c r="A739" s="5" t="n">
        <v>738</v>
      </c>
      <c r="B739" s="5" t="s">
        <v>2874</v>
      </c>
      <c r="C739" s="5" t="s">
        <v>1181</v>
      </c>
      <c r="D739" s="5" t="n">
        <v>1</v>
      </c>
      <c r="E739" s="5" t="n">
        <v>0</v>
      </c>
      <c r="F739" s="5" t="n">
        <v>0</v>
      </c>
      <c r="G739" s="5" t="s">
        <v>2875</v>
      </c>
      <c r="H739" s="5" t="s">
        <v>367</v>
      </c>
    </row>
    <row r="740" customFormat="false" ht="15" hidden="false" customHeight="false" outlineLevel="0" collapsed="false">
      <c r="A740" s="5" t="n">
        <v>739</v>
      </c>
      <c r="B740" s="5" t="s">
        <v>2876</v>
      </c>
      <c r="C740" s="5" t="s">
        <v>1181</v>
      </c>
      <c r="D740" s="5" t="n">
        <v>1</v>
      </c>
      <c r="E740" s="5" t="n">
        <v>0</v>
      </c>
      <c r="F740" s="5" t="n">
        <v>0</v>
      </c>
      <c r="G740" s="5" t="s">
        <v>2877</v>
      </c>
      <c r="H740" s="5" t="s">
        <v>622</v>
      </c>
    </row>
    <row r="741" customFormat="false" ht="15" hidden="false" customHeight="false" outlineLevel="0" collapsed="false">
      <c r="A741" s="5" t="n">
        <v>740</v>
      </c>
      <c r="B741" s="5" t="s">
        <v>2878</v>
      </c>
      <c r="C741" s="5" t="s">
        <v>1181</v>
      </c>
      <c r="D741" s="5" t="n">
        <v>1</v>
      </c>
      <c r="E741" s="5" t="n">
        <v>0</v>
      </c>
      <c r="F741" s="5" t="n">
        <v>0</v>
      </c>
      <c r="G741" s="5" t="s">
        <v>2879</v>
      </c>
      <c r="H741" s="5" t="s">
        <v>810</v>
      </c>
    </row>
    <row r="742" customFormat="false" ht="15" hidden="false" customHeight="false" outlineLevel="0" collapsed="false">
      <c r="A742" s="5" t="n">
        <v>741</v>
      </c>
      <c r="B742" s="5" t="s">
        <v>2880</v>
      </c>
      <c r="C742" s="5" t="s">
        <v>1181</v>
      </c>
      <c r="D742" s="5" t="n">
        <v>1</v>
      </c>
      <c r="E742" s="5" t="n">
        <v>0</v>
      </c>
      <c r="F742" s="5" t="n">
        <v>0</v>
      </c>
      <c r="G742" s="5" t="s">
        <v>2881</v>
      </c>
      <c r="H742" s="5" t="s">
        <v>1143</v>
      </c>
    </row>
    <row r="743" customFormat="false" ht="15" hidden="false" customHeight="false" outlineLevel="0" collapsed="false">
      <c r="A743" s="5" t="n">
        <v>742</v>
      </c>
      <c r="B743" s="5" t="s">
        <v>2882</v>
      </c>
      <c r="C743" s="5" t="s">
        <v>1176</v>
      </c>
      <c r="D743" s="5" t="n">
        <v>1</v>
      </c>
      <c r="E743" s="5" t="n">
        <v>0</v>
      </c>
      <c r="F743" s="5" t="n">
        <v>0</v>
      </c>
      <c r="G743" s="5" t="s">
        <v>2883</v>
      </c>
      <c r="H743" s="5" t="s">
        <v>1087</v>
      </c>
    </row>
    <row r="744" customFormat="false" ht="15" hidden="false" customHeight="false" outlineLevel="0" collapsed="false">
      <c r="A744" s="5" t="n">
        <v>743</v>
      </c>
      <c r="B744" s="5" t="s">
        <v>2884</v>
      </c>
      <c r="C744" s="5" t="s">
        <v>1181</v>
      </c>
      <c r="D744" s="5" t="n">
        <v>1</v>
      </c>
      <c r="E744" s="5" t="n">
        <v>0</v>
      </c>
      <c r="F744" s="5" t="n">
        <v>0</v>
      </c>
      <c r="G744" s="5" t="s">
        <v>2885</v>
      </c>
      <c r="H744" s="5" t="s">
        <v>642</v>
      </c>
    </row>
    <row r="745" customFormat="false" ht="15" hidden="false" customHeight="false" outlineLevel="0" collapsed="false">
      <c r="A745" s="5" t="n">
        <v>744</v>
      </c>
      <c r="B745" s="5" t="s">
        <v>2886</v>
      </c>
      <c r="C745" s="5" t="s">
        <v>1181</v>
      </c>
      <c r="D745" s="5" t="n">
        <v>1</v>
      </c>
      <c r="E745" s="5" t="n">
        <v>0</v>
      </c>
      <c r="F745" s="5" t="n">
        <v>0</v>
      </c>
      <c r="G745" s="5" t="s">
        <v>2887</v>
      </c>
      <c r="H745" s="5" t="s">
        <v>1118</v>
      </c>
    </row>
    <row r="746" customFormat="false" ht="15" hidden="false" customHeight="false" outlineLevel="0" collapsed="false">
      <c r="A746" s="5" t="n">
        <v>745</v>
      </c>
      <c r="B746" s="5" t="s">
        <v>227</v>
      </c>
      <c r="C746" s="5" t="s">
        <v>1176</v>
      </c>
      <c r="D746" s="5" t="n">
        <v>1</v>
      </c>
      <c r="E746" s="5" t="n">
        <v>0</v>
      </c>
      <c r="F746" s="5" t="n">
        <v>0</v>
      </c>
      <c r="G746" s="5" t="s">
        <v>2888</v>
      </c>
      <c r="H746" s="5" t="s">
        <v>226</v>
      </c>
    </row>
    <row r="747" customFormat="false" ht="15" hidden="false" customHeight="false" outlineLevel="0" collapsed="false">
      <c r="A747" s="5" t="n">
        <v>746</v>
      </c>
      <c r="B747" s="5" t="s">
        <v>2889</v>
      </c>
      <c r="C747" s="5" t="s">
        <v>1176</v>
      </c>
      <c r="D747" s="5" t="n">
        <v>1</v>
      </c>
      <c r="E747" s="5" t="n">
        <v>0</v>
      </c>
      <c r="F747" s="5" t="n">
        <v>0</v>
      </c>
      <c r="G747" s="5" t="s">
        <v>2890</v>
      </c>
      <c r="H747" s="5" t="s">
        <v>769</v>
      </c>
    </row>
    <row r="748" customFormat="false" ht="15" hidden="false" customHeight="false" outlineLevel="0" collapsed="false">
      <c r="A748" s="5" t="n">
        <v>747</v>
      </c>
      <c r="B748" s="5" t="s">
        <v>2891</v>
      </c>
      <c r="C748" s="5" t="s">
        <v>1181</v>
      </c>
      <c r="D748" s="5" t="n">
        <v>1</v>
      </c>
      <c r="E748" s="5" t="n">
        <v>0</v>
      </c>
      <c r="F748" s="5" t="n">
        <v>0</v>
      </c>
      <c r="G748" s="5" t="s">
        <v>2892</v>
      </c>
      <c r="H748" s="5" t="s">
        <v>1095</v>
      </c>
    </row>
    <row r="749" customFormat="false" ht="15" hidden="false" customHeight="false" outlineLevel="0" collapsed="false">
      <c r="A749" s="5" t="n">
        <v>748</v>
      </c>
      <c r="B749" s="5" t="s">
        <v>2893</v>
      </c>
      <c r="C749" s="5" t="s">
        <v>1181</v>
      </c>
      <c r="D749" s="5" t="n">
        <v>1</v>
      </c>
      <c r="E749" s="5" t="n">
        <v>0</v>
      </c>
      <c r="F749" s="5" t="n">
        <v>0</v>
      </c>
      <c r="G749" s="5" t="s">
        <v>2894</v>
      </c>
      <c r="H749" s="5" t="s">
        <v>763</v>
      </c>
    </row>
    <row r="750" customFormat="false" ht="15" hidden="false" customHeight="false" outlineLevel="0" collapsed="false">
      <c r="A750" s="5" t="n">
        <v>749</v>
      </c>
      <c r="B750" s="5" t="s">
        <v>2895</v>
      </c>
      <c r="C750" s="5" t="s">
        <v>1181</v>
      </c>
      <c r="D750" s="5" t="n">
        <v>1</v>
      </c>
      <c r="E750" s="5" t="n">
        <v>0</v>
      </c>
      <c r="F750" s="5" t="n">
        <v>0</v>
      </c>
      <c r="G750" s="5" t="s">
        <v>2896</v>
      </c>
      <c r="H750" s="5" t="s">
        <v>837</v>
      </c>
    </row>
    <row r="751" customFormat="false" ht="15" hidden="false" customHeight="false" outlineLevel="0" collapsed="false">
      <c r="A751" s="5" t="n">
        <v>750</v>
      </c>
      <c r="B751" s="5" t="s">
        <v>2897</v>
      </c>
      <c r="C751" s="5" t="s">
        <v>1181</v>
      </c>
      <c r="D751" s="5" t="n">
        <v>1</v>
      </c>
      <c r="E751" s="5" t="n">
        <v>0</v>
      </c>
      <c r="F751" s="5" t="n">
        <v>0</v>
      </c>
      <c r="G751" s="5" t="s">
        <v>2898</v>
      </c>
      <c r="H751" s="5" t="s">
        <v>381</v>
      </c>
    </row>
    <row r="752" customFormat="false" ht="15" hidden="false" customHeight="false" outlineLevel="0" collapsed="false">
      <c r="A752" s="5" t="n">
        <v>751</v>
      </c>
      <c r="B752" s="5" t="s">
        <v>2899</v>
      </c>
      <c r="C752" s="5" t="s">
        <v>1181</v>
      </c>
      <c r="D752" s="5" t="n">
        <v>1</v>
      </c>
      <c r="E752" s="5" t="n">
        <v>0</v>
      </c>
      <c r="F752" s="5" t="n">
        <v>0</v>
      </c>
      <c r="G752" s="5" t="s">
        <v>2900</v>
      </c>
      <c r="H752" s="5" t="s">
        <v>1069</v>
      </c>
    </row>
    <row r="753" customFormat="false" ht="15" hidden="false" customHeight="false" outlineLevel="0" collapsed="false">
      <c r="A753" s="5" t="n">
        <v>752</v>
      </c>
      <c r="B753" s="5" t="s">
        <v>2901</v>
      </c>
      <c r="C753" s="5" t="s">
        <v>1181</v>
      </c>
      <c r="D753" s="5" t="n">
        <v>1</v>
      </c>
      <c r="E753" s="5" t="n">
        <v>0</v>
      </c>
      <c r="F753" s="5" t="n">
        <v>0</v>
      </c>
      <c r="G753" s="5" t="s">
        <v>2902</v>
      </c>
      <c r="H753" s="5" t="s">
        <v>94</v>
      </c>
    </row>
    <row r="754" customFormat="false" ht="15" hidden="false" customHeight="false" outlineLevel="0" collapsed="false">
      <c r="A754" s="5" t="n">
        <v>753</v>
      </c>
      <c r="B754" s="5" t="s">
        <v>814</v>
      </c>
      <c r="C754" s="5" t="s">
        <v>1181</v>
      </c>
      <c r="D754" s="5" t="n">
        <v>1</v>
      </c>
      <c r="E754" s="5" t="n">
        <v>0</v>
      </c>
      <c r="F754" s="5" t="n">
        <v>0</v>
      </c>
      <c r="G754" s="5" t="s">
        <v>2903</v>
      </c>
      <c r="H754" s="5" t="s">
        <v>813</v>
      </c>
    </row>
    <row r="755" customFormat="false" ht="15" hidden="false" customHeight="false" outlineLevel="0" collapsed="false">
      <c r="A755" s="5" t="n">
        <v>754</v>
      </c>
      <c r="B755" s="5" t="s">
        <v>2904</v>
      </c>
      <c r="C755" s="5" t="s">
        <v>1181</v>
      </c>
      <c r="D755" s="5" t="n">
        <v>1</v>
      </c>
      <c r="E755" s="5" t="n">
        <v>0</v>
      </c>
      <c r="F755" s="5" t="n">
        <v>0</v>
      </c>
      <c r="G755" s="5" t="s">
        <v>2905</v>
      </c>
      <c r="H755" s="5" t="s">
        <v>1069</v>
      </c>
    </row>
    <row r="756" customFormat="false" ht="15" hidden="false" customHeight="false" outlineLevel="0" collapsed="false">
      <c r="A756" s="5" t="n">
        <v>755</v>
      </c>
      <c r="B756" s="5" t="s">
        <v>2906</v>
      </c>
      <c r="C756" s="5" t="s">
        <v>1181</v>
      </c>
      <c r="D756" s="5" t="n">
        <v>1</v>
      </c>
      <c r="E756" s="5" t="n">
        <v>0</v>
      </c>
      <c r="F756" s="5" t="n">
        <v>0</v>
      </c>
      <c r="G756" s="5" t="s">
        <v>2907</v>
      </c>
      <c r="H756" s="5" t="s">
        <v>762</v>
      </c>
    </row>
    <row r="757" customFormat="false" ht="15" hidden="false" customHeight="false" outlineLevel="0" collapsed="false">
      <c r="A757" s="5" t="n">
        <v>756</v>
      </c>
      <c r="B757" s="5" t="s">
        <v>2908</v>
      </c>
      <c r="C757" s="5" t="s">
        <v>1181</v>
      </c>
      <c r="D757" s="5" t="n">
        <v>1</v>
      </c>
      <c r="E757" s="5" t="n">
        <v>0</v>
      </c>
      <c r="F757" s="5" t="n">
        <v>0</v>
      </c>
      <c r="G757" s="5" t="s">
        <v>2909</v>
      </c>
      <c r="H757" s="5" t="s">
        <v>1085</v>
      </c>
    </row>
    <row r="758" customFormat="false" ht="15" hidden="false" customHeight="false" outlineLevel="0" collapsed="false">
      <c r="A758" s="5" t="n">
        <v>757</v>
      </c>
      <c r="B758" s="5" t="s">
        <v>2910</v>
      </c>
      <c r="C758" s="5" t="s">
        <v>1181</v>
      </c>
      <c r="D758" s="5" t="n">
        <v>1</v>
      </c>
      <c r="E758" s="5" t="n">
        <v>0</v>
      </c>
      <c r="F758" s="5" t="n">
        <v>0</v>
      </c>
      <c r="G758" s="5" t="s">
        <v>2911</v>
      </c>
      <c r="H758" s="5" t="s">
        <v>637</v>
      </c>
    </row>
    <row r="759" customFormat="false" ht="15" hidden="false" customHeight="false" outlineLevel="0" collapsed="false">
      <c r="A759" s="5" t="n">
        <v>758</v>
      </c>
      <c r="B759" s="5" t="s">
        <v>1127</v>
      </c>
      <c r="C759" s="5" t="s">
        <v>1181</v>
      </c>
      <c r="D759" s="5" t="n">
        <v>1</v>
      </c>
      <c r="E759" s="5" t="n">
        <v>0</v>
      </c>
      <c r="F759" s="5" t="n">
        <v>0</v>
      </c>
      <c r="G759" s="5" t="s">
        <v>2912</v>
      </c>
      <c r="H759" s="5" t="s">
        <v>1126</v>
      </c>
    </row>
    <row r="760" customFormat="false" ht="15" hidden="false" customHeight="false" outlineLevel="0" collapsed="false">
      <c r="A760" s="5" t="n">
        <v>759</v>
      </c>
      <c r="B760" s="5" t="s">
        <v>2913</v>
      </c>
      <c r="C760" s="5" t="s">
        <v>1181</v>
      </c>
      <c r="D760" s="5" t="n">
        <v>1</v>
      </c>
      <c r="E760" s="5" t="n">
        <v>0</v>
      </c>
      <c r="F760" s="5" t="n">
        <v>0</v>
      </c>
      <c r="G760" s="5" t="s">
        <v>2914</v>
      </c>
      <c r="H760" s="5" t="s">
        <v>383</v>
      </c>
    </row>
    <row r="761" customFormat="false" ht="15" hidden="false" customHeight="false" outlineLevel="0" collapsed="false">
      <c r="A761" s="5" t="n">
        <v>760</v>
      </c>
      <c r="B761" s="5" t="s">
        <v>2915</v>
      </c>
      <c r="C761" s="5" t="s">
        <v>1181</v>
      </c>
      <c r="D761" s="5" t="n">
        <v>1</v>
      </c>
      <c r="E761" s="5" t="n">
        <v>0</v>
      </c>
      <c r="F761" s="5" t="n">
        <v>0</v>
      </c>
      <c r="G761" s="5" t="s">
        <v>2916</v>
      </c>
      <c r="H761" s="5" t="s">
        <v>1015</v>
      </c>
    </row>
    <row r="762" customFormat="false" ht="15" hidden="false" customHeight="false" outlineLevel="0" collapsed="false">
      <c r="A762" s="5" t="n">
        <v>761</v>
      </c>
      <c r="B762" s="5" t="s">
        <v>2917</v>
      </c>
      <c r="C762" s="5" t="s">
        <v>1181</v>
      </c>
      <c r="D762" s="5" t="n">
        <v>1</v>
      </c>
      <c r="E762" s="5" t="n">
        <v>0</v>
      </c>
      <c r="F762" s="5" t="n">
        <v>0</v>
      </c>
      <c r="G762" s="5" t="s">
        <v>2918</v>
      </c>
      <c r="H762" s="5" t="s">
        <v>1069</v>
      </c>
    </row>
    <row r="763" customFormat="false" ht="15" hidden="false" customHeight="false" outlineLevel="0" collapsed="false">
      <c r="A763" s="5" t="n">
        <v>762</v>
      </c>
      <c r="B763" s="5" t="s">
        <v>2919</v>
      </c>
      <c r="C763" s="5" t="s">
        <v>1176</v>
      </c>
      <c r="D763" s="5" t="n">
        <v>1</v>
      </c>
      <c r="E763" s="5" t="n">
        <v>0</v>
      </c>
      <c r="F763" s="5" t="n">
        <v>0</v>
      </c>
      <c r="G763" s="5" t="s">
        <v>2920</v>
      </c>
      <c r="H763" s="5" t="s">
        <v>624</v>
      </c>
    </row>
    <row r="764" customFormat="false" ht="15" hidden="false" customHeight="false" outlineLevel="0" collapsed="false">
      <c r="A764" s="5" t="n">
        <v>763</v>
      </c>
      <c r="B764" s="5" t="s">
        <v>2921</v>
      </c>
      <c r="C764" s="5" t="s">
        <v>1181</v>
      </c>
      <c r="D764" s="5" t="n">
        <v>1</v>
      </c>
      <c r="E764" s="5" t="n">
        <v>0</v>
      </c>
      <c r="F764" s="5" t="n">
        <v>0</v>
      </c>
      <c r="G764" s="5" t="s">
        <v>2922</v>
      </c>
      <c r="H764" s="5" t="s">
        <v>1069</v>
      </c>
    </row>
    <row r="765" customFormat="false" ht="15" hidden="false" customHeight="false" outlineLevel="0" collapsed="false">
      <c r="A765" s="5" t="n">
        <v>764</v>
      </c>
      <c r="B765" s="5" t="s">
        <v>2923</v>
      </c>
      <c r="C765" s="5" t="s">
        <v>1181</v>
      </c>
      <c r="D765" s="5" t="n">
        <v>1</v>
      </c>
      <c r="E765" s="5" t="n">
        <v>0</v>
      </c>
      <c r="F765" s="5" t="n">
        <v>0</v>
      </c>
      <c r="G765" s="5" t="s">
        <v>2924</v>
      </c>
      <c r="H765" s="5" t="s">
        <v>712</v>
      </c>
    </row>
    <row r="766" customFormat="false" ht="15" hidden="false" customHeight="false" outlineLevel="0" collapsed="false">
      <c r="A766" s="5" t="n">
        <v>765</v>
      </c>
      <c r="B766" s="5" t="s">
        <v>2925</v>
      </c>
      <c r="C766" s="5" t="s">
        <v>1181</v>
      </c>
      <c r="D766" s="5" t="n">
        <v>1</v>
      </c>
      <c r="E766" s="5" t="n">
        <v>0</v>
      </c>
      <c r="F766" s="5" t="n">
        <v>0</v>
      </c>
      <c r="G766" s="5" t="s">
        <v>2926</v>
      </c>
      <c r="H766" s="5" t="s">
        <v>426</v>
      </c>
    </row>
    <row r="767" customFormat="false" ht="15" hidden="false" customHeight="false" outlineLevel="0" collapsed="false">
      <c r="A767" s="5" t="n">
        <v>766</v>
      </c>
      <c r="B767" s="5" t="s">
        <v>2927</v>
      </c>
      <c r="C767" s="5" t="s">
        <v>1181</v>
      </c>
      <c r="D767" s="5" t="n">
        <v>1</v>
      </c>
      <c r="E767" s="5" t="n">
        <v>0</v>
      </c>
      <c r="F767" s="5" t="n">
        <v>0</v>
      </c>
      <c r="G767" s="5" t="s">
        <v>2928</v>
      </c>
      <c r="H767" s="5" t="s">
        <v>424</v>
      </c>
    </row>
    <row r="768" customFormat="false" ht="15" hidden="false" customHeight="false" outlineLevel="0" collapsed="false">
      <c r="A768" s="5" t="n">
        <v>767</v>
      </c>
      <c r="B768" s="5" t="s">
        <v>2929</v>
      </c>
      <c r="C768" s="5" t="s">
        <v>1176</v>
      </c>
      <c r="D768" s="5" t="n">
        <v>1</v>
      </c>
      <c r="E768" s="5" t="n">
        <v>0</v>
      </c>
      <c r="F768" s="5" t="n">
        <v>0</v>
      </c>
      <c r="G768" s="5" t="s">
        <v>2930</v>
      </c>
      <c r="H768" s="5" t="s">
        <v>676</v>
      </c>
    </row>
    <row r="769" customFormat="false" ht="15" hidden="false" customHeight="false" outlineLevel="0" collapsed="false">
      <c r="A769" s="5" t="n">
        <v>768</v>
      </c>
      <c r="B769" s="5" t="s">
        <v>2931</v>
      </c>
      <c r="C769" s="5" t="s">
        <v>1181</v>
      </c>
      <c r="D769" s="5" t="n">
        <v>1</v>
      </c>
      <c r="E769" s="5" t="n">
        <v>0</v>
      </c>
      <c r="F769" s="5" t="n">
        <v>0</v>
      </c>
      <c r="G769" s="5" t="s">
        <v>2932</v>
      </c>
      <c r="H769" s="5" t="s">
        <v>684</v>
      </c>
    </row>
    <row r="770" customFormat="false" ht="15" hidden="false" customHeight="false" outlineLevel="0" collapsed="false">
      <c r="A770" s="5" t="n">
        <v>769</v>
      </c>
      <c r="B770" s="5" t="s">
        <v>2933</v>
      </c>
      <c r="C770" s="5" t="s">
        <v>1181</v>
      </c>
      <c r="D770" s="5" t="n">
        <v>1</v>
      </c>
      <c r="E770" s="5" t="n">
        <v>0</v>
      </c>
      <c r="F770" s="5" t="n">
        <v>0</v>
      </c>
      <c r="G770" s="5" t="s">
        <v>2934</v>
      </c>
      <c r="H770" s="5" t="s">
        <v>680</v>
      </c>
    </row>
    <row r="771" customFormat="false" ht="15" hidden="false" customHeight="false" outlineLevel="0" collapsed="false">
      <c r="A771" s="5" t="n">
        <v>770</v>
      </c>
      <c r="B771" s="5" t="s">
        <v>2935</v>
      </c>
      <c r="C771" s="5" t="s">
        <v>1181</v>
      </c>
      <c r="D771" s="5" t="n">
        <v>1</v>
      </c>
      <c r="E771" s="5" t="n">
        <v>0</v>
      </c>
      <c r="F771" s="5" t="n">
        <v>0</v>
      </c>
      <c r="G771" s="5" t="s">
        <v>2936</v>
      </c>
      <c r="H771" s="5" t="s">
        <v>1087</v>
      </c>
    </row>
    <row r="772" customFormat="false" ht="15" hidden="false" customHeight="false" outlineLevel="0" collapsed="false">
      <c r="A772" s="5" t="n">
        <v>771</v>
      </c>
      <c r="B772" s="5" t="s">
        <v>2937</v>
      </c>
      <c r="C772" s="5" t="s">
        <v>1181</v>
      </c>
      <c r="D772" s="5" t="n">
        <v>1</v>
      </c>
      <c r="E772" s="5" t="n">
        <v>0</v>
      </c>
      <c r="F772" s="5" t="n">
        <v>0</v>
      </c>
      <c r="G772" s="5" t="s">
        <v>2938</v>
      </c>
      <c r="H772" s="5" t="s">
        <v>956</v>
      </c>
    </row>
    <row r="773" customFormat="false" ht="15" hidden="false" customHeight="false" outlineLevel="0" collapsed="false">
      <c r="A773" s="5" t="n">
        <v>772</v>
      </c>
      <c r="B773" s="5" t="s">
        <v>588</v>
      </c>
      <c r="C773" s="5" t="s">
        <v>1181</v>
      </c>
      <c r="D773" s="5" t="n">
        <v>1</v>
      </c>
      <c r="E773" s="5" t="n">
        <v>0</v>
      </c>
      <c r="F773" s="5" t="n">
        <v>0</v>
      </c>
      <c r="G773" s="5" t="s">
        <v>2939</v>
      </c>
      <c r="H773" s="5" t="s">
        <v>587</v>
      </c>
    </row>
    <row r="774" customFormat="false" ht="15" hidden="false" customHeight="false" outlineLevel="0" collapsed="false">
      <c r="A774" s="5" t="n">
        <v>773</v>
      </c>
      <c r="B774" s="5" t="s">
        <v>2940</v>
      </c>
      <c r="C774" s="5" t="s">
        <v>1181</v>
      </c>
      <c r="D774" s="5" t="n">
        <v>1</v>
      </c>
      <c r="E774" s="5" t="n">
        <v>0</v>
      </c>
      <c r="F774" s="5" t="n">
        <v>0</v>
      </c>
      <c r="G774" s="5" t="s">
        <v>2941</v>
      </c>
      <c r="H774" s="5" t="s">
        <v>580</v>
      </c>
    </row>
    <row r="775" customFormat="false" ht="15" hidden="false" customHeight="false" outlineLevel="0" collapsed="false">
      <c r="A775" s="5" t="n">
        <v>774</v>
      </c>
      <c r="B775" s="5" t="s">
        <v>595</v>
      </c>
      <c r="C775" s="5" t="s">
        <v>1181</v>
      </c>
      <c r="D775" s="5" t="n">
        <v>1</v>
      </c>
      <c r="E775" s="5" t="n">
        <v>0</v>
      </c>
      <c r="F775" s="5" t="n">
        <v>0</v>
      </c>
      <c r="G775" s="5" t="s">
        <v>2942</v>
      </c>
      <c r="H775" s="5" t="s">
        <v>594</v>
      </c>
    </row>
    <row r="776" customFormat="false" ht="15" hidden="false" customHeight="false" outlineLevel="0" collapsed="false">
      <c r="A776" s="5" t="n">
        <v>775</v>
      </c>
      <c r="B776" s="5" t="s">
        <v>2943</v>
      </c>
      <c r="C776" s="5" t="s">
        <v>1181</v>
      </c>
      <c r="D776" s="5" t="n">
        <v>1</v>
      </c>
      <c r="E776" s="5" t="n">
        <v>0</v>
      </c>
      <c r="F776" s="5" t="n">
        <v>0</v>
      </c>
      <c r="G776" s="5" t="s">
        <v>2944</v>
      </c>
      <c r="H776" s="5" t="s">
        <v>678</v>
      </c>
    </row>
    <row r="777" customFormat="false" ht="15" hidden="false" customHeight="false" outlineLevel="0" collapsed="false">
      <c r="A777" s="5" t="n">
        <v>776</v>
      </c>
      <c r="B777" s="5" t="s">
        <v>2945</v>
      </c>
      <c r="C777" s="5" t="s">
        <v>1181</v>
      </c>
      <c r="D777" s="5" t="n">
        <v>1</v>
      </c>
      <c r="E777" s="5" t="n">
        <v>0</v>
      </c>
      <c r="F777" s="5" t="n">
        <v>0</v>
      </c>
      <c r="G777" s="5" t="s">
        <v>2946</v>
      </c>
      <c r="H777" s="5" t="s">
        <v>535</v>
      </c>
    </row>
    <row r="778" customFormat="false" ht="15" hidden="false" customHeight="false" outlineLevel="0" collapsed="false">
      <c r="A778" s="5" t="n">
        <v>777</v>
      </c>
      <c r="B778" s="5" t="s">
        <v>2947</v>
      </c>
      <c r="C778" s="5" t="s">
        <v>1181</v>
      </c>
      <c r="D778" s="5" t="n">
        <v>1</v>
      </c>
      <c r="E778" s="5" t="n">
        <v>0</v>
      </c>
      <c r="F778" s="5" t="n">
        <v>0</v>
      </c>
      <c r="G778" s="5" t="s">
        <v>2948</v>
      </c>
      <c r="H778" s="5" t="s">
        <v>312</v>
      </c>
    </row>
    <row r="779" customFormat="false" ht="15" hidden="false" customHeight="false" outlineLevel="0" collapsed="false">
      <c r="A779" s="5" t="n">
        <v>778</v>
      </c>
      <c r="B779" s="5" t="s">
        <v>2949</v>
      </c>
      <c r="C779" s="5" t="s">
        <v>1181</v>
      </c>
      <c r="D779" s="5" t="n">
        <v>1</v>
      </c>
      <c r="E779" s="5" t="n">
        <v>0</v>
      </c>
      <c r="F779" s="5" t="n">
        <v>0</v>
      </c>
      <c r="G779" s="5" t="s">
        <v>2950</v>
      </c>
      <c r="H779" s="5" t="s">
        <v>749</v>
      </c>
    </row>
    <row r="780" customFormat="false" ht="15" hidden="false" customHeight="false" outlineLevel="0" collapsed="false">
      <c r="A780" s="5" t="n">
        <v>779</v>
      </c>
      <c r="B780" s="5" t="s">
        <v>2951</v>
      </c>
      <c r="C780" s="5" t="s">
        <v>1181</v>
      </c>
      <c r="D780" s="5" t="n">
        <v>1</v>
      </c>
      <c r="E780" s="5" t="n">
        <v>0</v>
      </c>
      <c r="F780" s="5" t="n">
        <v>0</v>
      </c>
      <c r="G780" s="5" t="s">
        <v>2952</v>
      </c>
      <c r="H780" s="5" t="s">
        <v>324</v>
      </c>
    </row>
    <row r="781" customFormat="false" ht="15" hidden="false" customHeight="false" outlineLevel="0" collapsed="false">
      <c r="A781" s="5" t="n">
        <v>780</v>
      </c>
      <c r="B781" s="5" t="s">
        <v>2953</v>
      </c>
      <c r="C781" s="5" t="s">
        <v>1181</v>
      </c>
      <c r="D781" s="5" t="n">
        <v>1</v>
      </c>
      <c r="E781" s="5" t="n">
        <v>0</v>
      </c>
      <c r="F781" s="5" t="n">
        <v>0</v>
      </c>
      <c r="G781" s="5" t="s">
        <v>2954</v>
      </c>
      <c r="H781" s="5" t="s">
        <v>742</v>
      </c>
    </row>
    <row r="782" customFormat="false" ht="15" hidden="false" customHeight="false" outlineLevel="0" collapsed="false">
      <c r="A782" s="5" t="n">
        <v>781</v>
      </c>
      <c r="B782" s="5" t="s">
        <v>2955</v>
      </c>
      <c r="C782" s="5" t="s">
        <v>1181</v>
      </c>
      <c r="D782" s="5" t="n">
        <v>1</v>
      </c>
      <c r="E782" s="5" t="n">
        <v>0</v>
      </c>
      <c r="F782" s="5" t="n">
        <v>0</v>
      </c>
      <c r="G782" s="5" t="s">
        <v>2956</v>
      </c>
      <c r="H782" s="5" t="s">
        <v>680</v>
      </c>
    </row>
    <row r="783" customFormat="false" ht="15" hidden="false" customHeight="false" outlineLevel="0" collapsed="false">
      <c r="A783" s="5" t="n">
        <v>782</v>
      </c>
      <c r="B783" s="5" t="s">
        <v>2957</v>
      </c>
      <c r="C783" s="5" t="s">
        <v>1181</v>
      </c>
      <c r="D783" s="5" t="n">
        <v>1</v>
      </c>
      <c r="E783" s="5" t="n">
        <v>0</v>
      </c>
      <c r="F783" s="5" t="n">
        <v>0</v>
      </c>
      <c r="G783" s="5" t="s">
        <v>2958</v>
      </c>
      <c r="H783" s="5" t="s">
        <v>144</v>
      </c>
    </row>
    <row r="784" customFormat="false" ht="15" hidden="false" customHeight="false" outlineLevel="0" collapsed="false">
      <c r="A784" s="5" t="n">
        <v>783</v>
      </c>
      <c r="B784" s="5" t="s">
        <v>639</v>
      </c>
      <c r="C784" s="5" t="s">
        <v>1181</v>
      </c>
      <c r="D784" s="5" t="n">
        <v>1</v>
      </c>
      <c r="E784" s="5" t="n">
        <v>0</v>
      </c>
      <c r="F784" s="5" t="n">
        <v>0</v>
      </c>
      <c r="G784" s="5" t="s">
        <v>2959</v>
      </c>
      <c r="H784" s="5" t="s">
        <v>637</v>
      </c>
    </row>
    <row r="785" customFormat="false" ht="15" hidden="false" customHeight="false" outlineLevel="0" collapsed="false">
      <c r="A785" s="5" t="n">
        <v>784</v>
      </c>
      <c r="B785" s="5" t="s">
        <v>2960</v>
      </c>
      <c r="C785" s="5" t="s">
        <v>1181</v>
      </c>
      <c r="D785" s="5" t="n">
        <v>1</v>
      </c>
      <c r="E785" s="5" t="n">
        <v>0</v>
      </c>
      <c r="F785" s="5" t="n">
        <v>0</v>
      </c>
      <c r="G785" s="5" t="s">
        <v>2961</v>
      </c>
      <c r="H785" s="5" t="s">
        <v>1084</v>
      </c>
    </row>
    <row r="786" customFormat="false" ht="15" hidden="false" customHeight="false" outlineLevel="0" collapsed="false">
      <c r="A786" s="5" t="n">
        <v>785</v>
      </c>
      <c r="B786" s="5" t="s">
        <v>896</v>
      </c>
      <c r="C786" s="5" t="s">
        <v>1181</v>
      </c>
      <c r="D786" s="5" t="n">
        <v>1</v>
      </c>
      <c r="E786" s="5" t="n">
        <v>0</v>
      </c>
      <c r="F786" s="5" t="n">
        <v>0</v>
      </c>
      <c r="G786" s="5" t="s">
        <v>2962</v>
      </c>
      <c r="H786" s="5" t="s">
        <v>895</v>
      </c>
    </row>
    <row r="787" customFormat="false" ht="15" hidden="false" customHeight="false" outlineLevel="0" collapsed="false">
      <c r="A787" s="5" t="n">
        <v>786</v>
      </c>
      <c r="B787" s="5" t="s">
        <v>499</v>
      </c>
      <c r="C787" s="5" t="s">
        <v>1181</v>
      </c>
      <c r="D787" s="5" t="n">
        <v>1</v>
      </c>
      <c r="E787" s="5" t="n">
        <v>0</v>
      </c>
      <c r="F787" s="5" t="n">
        <v>0</v>
      </c>
      <c r="G787" s="5" t="s">
        <v>2963</v>
      </c>
      <c r="H787" s="5" t="s">
        <v>498</v>
      </c>
    </row>
    <row r="788" customFormat="false" ht="15" hidden="false" customHeight="false" outlineLevel="0" collapsed="false">
      <c r="A788" s="5" t="n">
        <v>787</v>
      </c>
      <c r="B788" s="5" t="s">
        <v>2964</v>
      </c>
      <c r="C788" s="5" t="s">
        <v>1181</v>
      </c>
      <c r="D788" s="5" t="n">
        <v>1</v>
      </c>
      <c r="E788" s="5" t="n">
        <v>0</v>
      </c>
      <c r="F788" s="5" t="n">
        <v>0</v>
      </c>
      <c r="G788" s="5" t="s">
        <v>2965</v>
      </c>
      <c r="H788" s="5" t="s">
        <v>531</v>
      </c>
    </row>
    <row r="789" customFormat="false" ht="15" hidden="false" customHeight="false" outlineLevel="0" collapsed="false">
      <c r="A789" s="5" t="n">
        <v>788</v>
      </c>
      <c r="B789" s="5" t="s">
        <v>2966</v>
      </c>
      <c r="C789" s="5" t="s">
        <v>1181</v>
      </c>
      <c r="D789" s="5" t="n">
        <v>1</v>
      </c>
      <c r="E789" s="5" t="n">
        <v>0</v>
      </c>
      <c r="F789" s="5" t="n">
        <v>0</v>
      </c>
      <c r="G789" s="5" t="s">
        <v>2967</v>
      </c>
      <c r="H789" s="5" t="s">
        <v>423</v>
      </c>
    </row>
    <row r="790" customFormat="false" ht="15" hidden="false" customHeight="false" outlineLevel="0" collapsed="false">
      <c r="A790" s="5" t="n">
        <v>789</v>
      </c>
      <c r="B790" s="5" t="s">
        <v>2968</v>
      </c>
      <c r="C790" s="5" t="s">
        <v>1181</v>
      </c>
      <c r="D790" s="5" t="n">
        <v>1</v>
      </c>
      <c r="E790" s="5" t="n">
        <v>0</v>
      </c>
      <c r="F790" s="5" t="n">
        <v>0</v>
      </c>
      <c r="G790" s="5" t="s">
        <v>2969</v>
      </c>
      <c r="H790" s="5" t="s">
        <v>647</v>
      </c>
    </row>
    <row r="791" customFormat="false" ht="15" hidden="false" customHeight="false" outlineLevel="0" collapsed="false">
      <c r="A791" s="5" t="n">
        <v>790</v>
      </c>
      <c r="B791" s="5" t="s">
        <v>2970</v>
      </c>
      <c r="C791" s="5" t="s">
        <v>1181</v>
      </c>
      <c r="D791" s="5" t="n">
        <v>1</v>
      </c>
      <c r="E791" s="5" t="n">
        <v>0</v>
      </c>
      <c r="F791" s="5" t="n">
        <v>0</v>
      </c>
      <c r="G791" s="5" t="s">
        <v>2971</v>
      </c>
      <c r="H791" s="5" t="s">
        <v>637</v>
      </c>
    </row>
    <row r="792" customFormat="false" ht="15" hidden="false" customHeight="false" outlineLevel="0" collapsed="false">
      <c r="A792" s="5" t="n">
        <v>791</v>
      </c>
      <c r="B792" s="5" t="s">
        <v>2972</v>
      </c>
      <c r="C792" s="5" t="s">
        <v>1181</v>
      </c>
      <c r="D792" s="5" t="n">
        <v>1</v>
      </c>
      <c r="E792" s="5" t="n">
        <v>0</v>
      </c>
      <c r="F792" s="5" t="n">
        <v>0</v>
      </c>
      <c r="G792" s="5" t="s">
        <v>2973</v>
      </c>
      <c r="H792" s="5" t="s">
        <v>741</v>
      </c>
    </row>
    <row r="793" customFormat="false" ht="15" hidden="false" customHeight="false" outlineLevel="0" collapsed="false">
      <c r="A793" s="5" t="n">
        <v>792</v>
      </c>
      <c r="B793" s="5" t="s">
        <v>2974</v>
      </c>
      <c r="C793" s="5" t="s">
        <v>1181</v>
      </c>
      <c r="D793" s="5" t="n">
        <v>1</v>
      </c>
      <c r="E793" s="5" t="n">
        <v>0</v>
      </c>
      <c r="F793" s="5" t="n">
        <v>0</v>
      </c>
      <c r="G793" s="5" t="s">
        <v>2975</v>
      </c>
      <c r="H793" s="5" t="s">
        <v>846</v>
      </c>
    </row>
    <row r="794" customFormat="false" ht="15" hidden="false" customHeight="false" outlineLevel="0" collapsed="false">
      <c r="A794" s="5" t="n">
        <v>793</v>
      </c>
      <c r="B794" s="5" t="s">
        <v>2976</v>
      </c>
      <c r="C794" s="5" t="s">
        <v>1181</v>
      </c>
      <c r="D794" s="5" t="n">
        <v>1</v>
      </c>
      <c r="E794" s="5" t="n">
        <v>0</v>
      </c>
      <c r="F794" s="5" t="n">
        <v>0</v>
      </c>
      <c r="G794" s="5" t="s">
        <v>2977</v>
      </c>
      <c r="H794" s="5" t="s">
        <v>1133</v>
      </c>
    </row>
    <row r="795" customFormat="false" ht="15" hidden="false" customHeight="false" outlineLevel="0" collapsed="false">
      <c r="A795" s="5" t="n">
        <v>794</v>
      </c>
      <c r="B795" s="5" t="s">
        <v>2978</v>
      </c>
      <c r="C795" s="5" t="s">
        <v>1181</v>
      </c>
      <c r="D795" s="5" t="n">
        <v>1</v>
      </c>
      <c r="E795" s="5" t="n">
        <v>0</v>
      </c>
      <c r="F795" s="5" t="n">
        <v>0</v>
      </c>
      <c r="G795" s="5" t="s">
        <v>2979</v>
      </c>
      <c r="H795" s="5" t="s">
        <v>412</v>
      </c>
    </row>
    <row r="796" customFormat="false" ht="15" hidden="false" customHeight="false" outlineLevel="0" collapsed="false">
      <c r="A796" s="5" t="n">
        <v>795</v>
      </c>
      <c r="B796" s="5" t="s">
        <v>2980</v>
      </c>
      <c r="C796" s="5" t="s">
        <v>1181</v>
      </c>
      <c r="D796" s="5" t="n">
        <v>1</v>
      </c>
      <c r="E796" s="5" t="n">
        <v>0</v>
      </c>
      <c r="F796" s="5" t="n">
        <v>0</v>
      </c>
      <c r="G796" s="5" t="s">
        <v>2981</v>
      </c>
      <c r="H796" s="5" t="s">
        <v>741</v>
      </c>
    </row>
    <row r="797" customFormat="false" ht="15" hidden="false" customHeight="false" outlineLevel="0" collapsed="false">
      <c r="A797" s="5" t="n">
        <v>796</v>
      </c>
      <c r="B797" s="5" t="s">
        <v>925</v>
      </c>
      <c r="C797" s="5" t="s">
        <v>1181</v>
      </c>
      <c r="D797" s="5" t="n">
        <v>1</v>
      </c>
      <c r="E797" s="5" t="n">
        <v>0</v>
      </c>
      <c r="F797" s="5" t="n">
        <v>0</v>
      </c>
      <c r="G797" s="5" t="s">
        <v>2982</v>
      </c>
      <c r="H797" s="5" t="s">
        <v>924</v>
      </c>
    </row>
    <row r="798" customFormat="false" ht="15" hidden="false" customHeight="false" outlineLevel="0" collapsed="false">
      <c r="A798" s="5" t="n">
        <v>797</v>
      </c>
      <c r="B798" s="5" t="s">
        <v>2983</v>
      </c>
      <c r="C798" s="5" t="s">
        <v>1181</v>
      </c>
      <c r="D798" s="5" t="n">
        <v>1</v>
      </c>
      <c r="E798" s="5" t="n">
        <v>0</v>
      </c>
      <c r="F798" s="5" t="n">
        <v>0</v>
      </c>
      <c r="G798" s="5" t="s">
        <v>2984</v>
      </c>
      <c r="H798" s="5" t="s">
        <v>810</v>
      </c>
    </row>
    <row r="799" customFormat="false" ht="15" hidden="false" customHeight="false" outlineLevel="0" collapsed="false">
      <c r="A799" s="5" t="n">
        <v>798</v>
      </c>
      <c r="B799" s="5" t="s">
        <v>2985</v>
      </c>
      <c r="C799" s="5" t="s">
        <v>1181</v>
      </c>
      <c r="D799" s="5" t="n">
        <v>1</v>
      </c>
      <c r="E799" s="5" t="n">
        <v>0</v>
      </c>
      <c r="F799" s="5" t="n">
        <v>0</v>
      </c>
      <c r="G799" s="5" t="s">
        <v>2986</v>
      </c>
      <c r="H799" s="5" t="s">
        <v>772</v>
      </c>
    </row>
    <row r="800" customFormat="false" ht="15" hidden="false" customHeight="false" outlineLevel="0" collapsed="false">
      <c r="A800" s="5" t="n">
        <v>799</v>
      </c>
      <c r="B800" s="5" t="s">
        <v>2987</v>
      </c>
      <c r="C800" s="5" t="s">
        <v>1181</v>
      </c>
      <c r="D800" s="5" t="n">
        <v>1</v>
      </c>
      <c r="E800" s="5" t="n">
        <v>0</v>
      </c>
      <c r="F800" s="5" t="n">
        <v>0</v>
      </c>
      <c r="G800" s="5" t="s">
        <v>2988</v>
      </c>
      <c r="H800" s="5" t="s">
        <v>644</v>
      </c>
    </row>
    <row r="801" customFormat="false" ht="15" hidden="false" customHeight="false" outlineLevel="0" collapsed="false">
      <c r="A801" s="5" t="n">
        <v>800</v>
      </c>
      <c r="B801" s="5" t="s">
        <v>2989</v>
      </c>
      <c r="C801" s="5" t="s">
        <v>1181</v>
      </c>
      <c r="D801" s="5" t="n">
        <v>1</v>
      </c>
      <c r="E801" s="5" t="n">
        <v>0</v>
      </c>
      <c r="F801" s="5" t="n">
        <v>0</v>
      </c>
      <c r="G801" s="5" t="s">
        <v>2990</v>
      </c>
      <c r="H801" s="5" t="s">
        <v>1098</v>
      </c>
    </row>
    <row r="802" customFormat="false" ht="15" hidden="false" customHeight="false" outlineLevel="0" collapsed="false">
      <c r="A802" s="5" t="n">
        <v>801</v>
      </c>
      <c r="B802" s="5" t="s">
        <v>2991</v>
      </c>
      <c r="C802" s="5" t="s">
        <v>1181</v>
      </c>
      <c r="D802" s="5" t="n">
        <v>1</v>
      </c>
      <c r="E802" s="5" t="n">
        <v>0</v>
      </c>
      <c r="F802" s="5" t="n">
        <v>0</v>
      </c>
      <c r="G802" s="5" t="s">
        <v>2992</v>
      </c>
      <c r="H802" s="5" t="s">
        <v>642</v>
      </c>
    </row>
    <row r="803" customFormat="false" ht="15" hidden="false" customHeight="false" outlineLevel="0" collapsed="false">
      <c r="A803" s="5" t="n">
        <v>802</v>
      </c>
      <c r="B803" s="5" t="s">
        <v>2993</v>
      </c>
      <c r="C803" s="5" t="s">
        <v>1176</v>
      </c>
      <c r="D803" s="5" t="n">
        <v>1</v>
      </c>
      <c r="E803" s="5" t="n">
        <v>0</v>
      </c>
      <c r="F803" s="5" t="n">
        <v>0</v>
      </c>
      <c r="G803" s="5" t="s">
        <v>2994</v>
      </c>
      <c r="H803" s="5" t="s">
        <v>619</v>
      </c>
    </row>
    <row r="804" customFormat="false" ht="15" hidden="false" customHeight="false" outlineLevel="0" collapsed="false">
      <c r="A804" s="5" t="n">
        <v>803</v>
      </c>
      <c r="B804" s="5" t="s">
        <v>2995</v>
      </c>
      <c r="C804" s="5" t="s">
        <v>1181</v>
      </c>
      <c r="D804" s="5" t="n">
        <v>1</v>
      </c>
      <c r="E804" s="5" t="n">
        <v>0</v>
      </c>
      <c r="F804" s="5" t="n">
        <v>0</v>
      </c>
      <c r="G804" s="5" t="s">
        <v>2996</v>
      </c>
      <c r="H804" s="5" t="s">
        <v>1000</v>
      </c>
    </row>
    <row r="805" customFormat="false" ht="15" hidden="false" customHeight="false" outlineLevel="0" collapsed="false">
      <c r="A805" s="5" t="n">
        <v>804</v>
      </c>
      <c r="B805" s="5" t="s">
        <v>2997</v>
      </c>
      <c r="C805" s="5" t="s">
        <v>1181</v>
      </c>
      <c r="D805" s="5" t="n">
        <v>1</v>
      </c>
      <c r="E805" s="5" t="n">
        <v>0</v>
      </c>
      <c r="F805" s="5" t="n">
        <v>0</v>
      </c>
      <c r="G805" s="5" t="s">
        <v>2998</v>
      </c>
      <c r="H805" s="5" t="s">
        <v>192</v>
      </c>
    </row>
    <row r="806" customFormat="false" ht="15" hidden="false" customHeight="false" outlineLevel="0" collapsed="false">
      <c r="A806" s="5" t="n">
        <v>805</v>
      </c>
      <c r="B806" s="5" t="s">
        <v>2999</v>
      </c>
      <c r="C806" s="5" t="s">
        <v>1181</v>
      </c>
      <c r="D806" s="5" t="n">
        <v>1</v>
      </c>
      <c r="E806" s="5" t="n">
        <v>0</v>
      </c>
      <c r="F806" s="5" t="n">
        <v>0</v>
      </c>
      <c r="G806" s="5" t="s">
        <v>3000</v>
      </c>
      <c r="H806" s="5" t="s">
        <v>520</v>
      </c>
    </row>
    <row r="807" customFormat="false" ht="15" hidden="false" customHeight="false" outlineLevel="0" collapsed="false">
      <c r="A807" s="5" t="n">
        <v>806</v>
      </c>
      <c r="B807" s="5" t="s">
        <v>3001</v>
      </c>
      <c r="C807" s="5" t="s">
        <v>1176</v>
      </c>
      <c r="D807" s="5" t="n">
        <v>1</v>
      </c>
      <c r="E807" s="5" t="n">
        <v>0</v>
      </c>
      <c r="F807" s="5" t="n">
        <v>0</v>
      </c>
      <c r="G807" s="5" t="s">
        <v>3002</v>
      </c>
      <c r="H807" s="5" t="s">
        <v>644</v>
      </c>
    </row>
    <row r="808" customFormat="false" ht="15" hidden="false" customHeight="false" outlineLevel="0" collapsed="false">
      <c r="A808" s="5" t="n">
        <v>807</v>
      </c>
      <c r="B808" s="5" t="s">
        <v>3003</v>
      </c>
      <c r="C808" s="5" t="s">
        <v>1181</v>
      </c>
      <c r="D808" s="5" t="n">
        <v>1</v>
      </c>
      <c r="E808" s="5" t="n">
        <v>0</v>
      </c>
      <c r="F808" s="5" t="n">
        <v>0</v>
      </c>
      <c r="G808" s="5" t="s">
        <v>3004</v>
      </c>
      <c r="H808" s="5" t="s">
        <v>423</v>
      </c>
    </row>
    <row r="809" customFormat="false" ht="15" hidden="false" customHeight="false" outlineLevel="0" collapsed="false">
      <c r="A809" s="5" t="n">
        <v>808</v>
      </c>
      <c r="B809" s="5" t="s">
        <v>3005</v>
      </c>
      <c r="C809" s="5" t="s">
        <v>1181</v>
      </c>
      <c r="D809" s="5" t="n">
        <v>1</v>
      </c>
      <c r="E809" s="5" t="n">
        <v>0</v>
      </c>
      <c r="F809" s="5" t="n">
        <v>0</v>
      </c>
      <c r="G809" s="5" t="s">
        <v>3006</v>
      </c>
      <c r="H809" s="5" t="s">
        <v>375</v>
      </c>
    </row>
    <row r="810" customFormat="false" ht="15" hidden="false" customHeight="false" outlineLevel="0" collapsed="false">
      <c r="A810" s="5" t="n">
        <v>809</v>
      </c>
      <c r="B810" s="5" t="s">
        <v>3007</v>
      </c>
      <c r="C810" s="5" t="s">
        <v>1181</v>
      </c>
      <c r="D810" s="5" t="n">
        <v>1</v>
      </c>
      <c r="E810" s="5" t="n">
        <v>0</v>
      </c>
      <c r="F810" s="5" t="n">
        <v>0</v>
      </c>
      <c r="G810" s="5" t="s">
        <v>3008</v>
      </c>
      <c r="H810" s="5" t="s">
        <v>733</v>
      </c>
    </row>
    <row r="811" customFormat="false" ht="15" hidden="false" customHeight="false" outlineLevel="0" collapsed="false">
      <c r="A811" s="5" t="n">
        <v>810</v>
      </c>
      <c r="B811" s="5" t="s">
        <v>3009</v>
      </c>
      <c r="C811" s="5" t="s">
        <v>1181</v>
      </c>
      <c r="D811" s="5" t="n">
        <v>1</v>
      </c>
      <c r="E811" s="5" t="n">
        <v>0</v>
      </c>
      <c r="F811" s="5" t="n">
        <v>0</v>
      </c>
      <c r="G811" s="5" t="s">
        <v>3010</v>
      </c>
      <c r="H811" s="5" t="s">
        <v>659</v>
      </c>
    </row>
    <row r="812" customFormat="false" ht="15" hidden="false" customHeight="false" outlineLevel="0" collapsed="false">
      <c r="A812" s="5" t="n">
        <v>811</v>
      </c>
      <c r="B812" s="5" t="s">
        <v>3011</v>
      </c>
      <c r="C812" s="5" t="s">
        <v>1181</v>
      </c>
      <c r="D812" s="5" t="n">
        <v>1</v>
      </c>
      <c r="E812" s="5" t="n">
        <v>0</v>
      </c>
      <c r="F812" s="5" t="n">
        <v>0</v>
      </c>
      <c r="G812" s="5" t="s">
        <v>3012</v>
      </c>
      <c r="H812" s="5" t="s">
        <v>998</v>
      </c>
    </row>
    <row r="813" customFormat="false" ht="15" hidden="false" customHeight="false" outlineLevel="0" collapsed="false">
      <c r="A813" s="5" t="n">
        <v>812</v>
      </c>
      <c r="B813" s="5" t="s">
        <v>3013</v>
      </c>
      <c r="C813" s="5" t="s">
        <v>1181</v>
      </c>
      <c r="D813" s="5" t="n">
        <v>1</v>
      </c>
      <c r="E813" s="5" t="n">
        <v>0</v>
      </c>
      <c r="F813" s="5" t="n">
        <v>0</v>
      </c>
      <c r="G813" s="5" t="s">
        <v>3014</v>
      </c>
      <c r="H813" s="5" t="s">
        <v>726</v>
      </c>
    </row>
    <row r="814" customFormat="false" ht="15" hidden="false" customHeight="false" outlineLevel="0" collapsed="false">
      <c r="A814" s="5" t="n">
        <v>813</v>
      </c>
      <c r="B814" s="5" t="s">
        <v>3015</v>
      </c>
      <c r="C814" s="5" t="s">
        <v>1181</v>
      </c>
      <c r="D814" s="5" t="n">
        <v>1</v>
      </c>
      <c r="E814" s="5" t="n">
        <v>0</v>
      </c>
      <c r="F814" s="5" t="n">
        <v>0</v>
      </c>
      <c r="G814" s="5" t="s">
        <v>3016</v>
      </c>
      <c r="H814" s="5" t="s">
        <v>339</v>
      </c>
    </row>
    <row r="815" customFormat="false" ht="15" hidden="false" customHeight="false" outlineLevel="0" collapsed="false">
      <c r="A815" s="5" t="n">
        <v>814</v>
      </c>
      <c r="B815" s="5" t="s">
        <v>3017</v>
      </c>
      <c r="C815" s="5" t="s">
        <v>1181</v>
      </c>
      <c r="D815" s="5" t="n">
        <v>1</v>
      </c>
      <c r="E815" s="5" t="n">
        <v>0</v>
      </c>
      <c r="F815" s="5" t="n">
        <v>0</v>
      </c>
      <c r="G815" s="5" t="s">
        <v>3018</v>
      </c>
      <c r="H815" s="5" t="s">
        <v>606</v>
      </c>
    </row>
    <row r="816" customFormat="false" ht="15" hidden="false" customHeight="false" outlineLevel="0" collapsed="false">
      <c r="A816" s="5" t="n">
        <v>815</v>
      </c>
      <c r="B816" s="5" t="s">
        <v>3019</v>
      </c>
      <c r="C816" s="5" t="s">
        <v>1181</v>
      </c>
      <c r="D816" s="5" t="n">
        <v>1</v>
      </c>
      <c r="E816" s="5" t="n">
        <v>0</v>
      </c>
      <c r="F816" s="5" t="n">
        <v>0</v>
      </c>
      <c r="G816" s="5" t="s">
        <v>3020</v>
      </c>
      <c r="H816" s="5" t="s">
        <v>590</v>
      </c>
    </row>
    <row r="817" customFormat="false" ht="15" hidden="false" customHeight="false" outlineLevel="0" collapsed="false">
      <c r="A817" s="5" t="n">
        <v>816</v>
      </c>
      <c r="B817" s="5" t="s">
        <v>3021</v>
      </c>
      <c r="C817" s="5" t="s">
        <v>1181</v>
      </c>
      <c r="D817" s="5" t="n">
        <v>1</v>
      </c>
      <c r="E817" s="5" t="n">
        <v>0</v>
      </c>
      <c r="F817" s="5" t="n">
        <v>0</v>
      </c>
      <c r="G817" s="5" t="s">
        <v>3022</v>
      </c>
      <c r="H817" s="5" t="s">
        <v>825</v>
      </c>
    </row>
    <row r="818" customFormat="false" ht="15" hidden="false" customHeight="false" outlineLevel="0" collapsed="false">
      <c r="A818" s="5" t="n">
        <v>817</v>
      </c>
      <c r="B818" s="5" t="s">
        <v>3023</v>
      </c>
      <c r="C818" s="5" t="s">
        <v>1181</v>
      </c>
      <c r="D818" s="5" t="n">
        <v>1</v>
      </c>
      <c r="E818" s="5" t="n">
        <v>0</v>
      </c>
      <c r="F818" s="5" t="n">
        <v>0</v>
      </c>
      <c r="G818" s="5" t="s">
        <v>3024</v>
      </c>
      <c r="H818" s="5" t="s">
        <v>578</v>
      </c>
    </row>
    <row r="819" customFormat="false" ht="15" hidden="false" customHeight="false" outlineLevel="0" collapsed="false">
      <c r="A819" s="5" t="n">
        <v>818</v>
      </c>
      <c r="B819" s="5" t="s">
        <v>3025</v>
      </c>
      <c r="C819" s="5" t="s">
        <v>1181</v>
      </c>
      <c r="D819" s="5" t="n">
        <v>1</v>
      </c>
      <c r="E819" s="5" t="n">
        <v>0</v>
      </c>
      <c r="F819" s="5" t="n">
        <v>0</v>
      </c>
      <c r="G819" s="5" t="s">
        <v>3026</v>
      </c>
      <c r="H819" s="5" t="s">
        <v>911</v>
      </c>
    </row>
    <row r="820" customFormat="false" ht="15" hidden="false" customHeight="false" outlineLevel="0" collapsed="false">
      <c r="A820" s="5" t="n">
        <v>819</v>
      </c>
      <c r="B820" s="5" t="s">
        <v>3027</v>
      </c>
      <c r="C820" s="5" t="s">
        <v>1181</v>
      </c>
      <c r="D820" s="5" t="n">
        <v>1</v>
      </c>
      <c r="E820" s="5" t="n">
        <v>0</v>
      </c>
      <c r="F820" s="5" t="n">
        <v>0</v>
      </c>
      <c r="G820" s="5" t="s">
        <v>3028</v>
      </c>
      <c r="H820" s="5" t="s">
        <v>778</v>
      </c>
    </row>
    <row r="821" customFormat="false" ht="15" hidden="false" customHeight="false" outlineLevel="0" collapsed="false">
      <c r="A821" s="5" t="n">
        <v>820</v>
      </c>
      <c r="B821" s="5" t="s">
        <v>800</v>
      </c>
      <c r="C821" s="5" t="s">
        <v>1181</v>
      </c>
      <c r="D821" s="5" t="n">
        <v>1</v>
      </c>
      <c r="E821" s="5" t="n">
        <v>0</v>
      </c>
      <c r="F821" s="5" t="n">
        <v>0</v>
      </c>
      <c r="G821" s="5" t="s">
        <v>3029</v>
      </c>
      <c r="H821" s="5" t="s">
        <v>799</v>
      </c>
    </row>
    <row r="822" customFormat="false" ht="15" hidden="false" customHeight="false" outlineLevel="0" collapsed="false">
      <c r="A822" s="5" t="n">
        <v>821</v>
      </c>
      <c r="B822" s="5" t="s">
        <v>3030</v>
      </c>
      <c r="C822" s="5" t="s">
        <v>1181</v>
      </c>
      <c r="D822" s="5" t="n">
        <v>1</v>
      </c>
      <c r="E822" s="5" t="n">
        <v>0</v>
      </c>
      <c r="F822" s="5" t="n">
        <v>0</v>
      </c>
      <c r="G822" s="5" t="s">
        <v>3031</v>
      </c>
      <c r="H822" s="5" t="s">
        <v>724</v>
      </c>
    </row>
    <row r="823" customFormat="false" ht="15" hidden="false" customHeight="false" outlineLevel="0" collapsed="false">
      <c r="A823" s="5" t="n">
        <v>822</v>
      </c>
      <c r="B823" s="5" t="s">
        <v>3032</v>
      </c>
      <c r="C823" s="5" t="s">
        <v>1181</v>
      </c>
      <c r="D823" s="5" t="n">
        <v>1</v>
      </c>
      <c r="E823" s="5" t="n">
        <v>0</v>
      </c>
      <c r="F823" s="5" t="n">
        <v>0</v>
      </c>
      <c r="G823" s="5" t="s">
        <v>3033</v>
      </c>
      <c r="H823" s="5" t="s">
        <v>533</v>
      </c>
    </row>
    <row r="824" customFormat="false" ht="15" hidden="false" customHeight="false" outlineLevel="0" collapsed="false">
      <c r="A824" s="5" t="n">
        <v>823</v>
      </c>
      <c r="B824" s="5" t="s">
        <v>3034</v>
      </c>
      <c r="C824" s="5" t="s">
        <v>1181</v>
      </c>
      <c r="D824" s="5" t="n">
        <v>1</v>
      </c>
      <c r="E824" s="5" t="n">
        <v>0</v>
      </c>
      <c r="F824" s="5" t="n">
        <v>0</v>
      </c>
      <c r="G824" s="5" t="s">
        <v>3035</v>
      </c>
      <c r="H824" s="5" t="s">
        <v>1145</v>
      </c>
    </row>
    <row r="825" customFormat="false" ht="15" hidden="false" customHeight="false" outlineLevel="0" collapsed="false">
      <c r="A825" s="5" t="n">
        <v>824</v>
      </c>
      <c r="B825" s="5" t="s">
        <v>1092</v>
      </c>
      <c r="C825" s="5" t="s">
        <v>1181</v>
      </c>
      <c r="D825" s="5" t="n">
        <v>1</v>
      </c>
      <c r="E825" s="5" t="n">
        <v>0</v>
      </c>
      <c r="F825" s="5" t="n">
        <v>0</v>
      </c>
      <c r="G825" s="5" t="s">
        <v>3036</v>
      </c>
      <c r="H825" s="5" t="s">
        <v>1090</v>
      </c>
    </row>
    <row r="826" customFormat="false" ht="15" hidden="false" customHeight="false" outlineLevel="0" collapsed="false">
      <c r="A826" s="5" t="n">
        <v>825</v>
      </c>
      <c r="B826" s="5" t="s">
        <v>3037</v>
      </c>
      <c r="C826" s="5" t="s">
        <v>1181</v>
      </c>
      <c r="D826" s="5" t="n">
        <v>1</v>
      </c>
      <c r="E826" s="5" t="n">
        <v>0</v>
      </c>
      <c r="F826" s="5" t="n">
        <v>0</v>
      </c>
      <c r="G826" s="5" t="s">
        <v>3038</v>
      </c>
      <c r="H826" s="5" t="s">
        <v>506</v>
      </c>
    </row>
    <row r="827" customFormat="false" ht="15" hidden="false" customHeight="false" outlineLevel="0" collapsed="false">
      <c r="A827" s="5" t="n">
        <v>826</v>
      </c>
      <c r="B827" s="5" t="s">
        <v>3039</v>
      </c>
      <c r="C827" s="5" t="s">
        <v>1181</v>
      </c>
      <c r="D827" s="5" t="n">
        <v>1</v>
      </c>
      <c r="E827" s="5" t="n">
        <v>0</v>
      </c>
      <c r="F827" s="5" t="n">
        <v>0</v>
      </c>
      <c r="G827" s="5" t="s">
        <v>3040</v>
      </c>
      <c r="H827" s="5" t="s">
        <v>680</v>
      </c>
    </row>
    <row r="828" customFormat="false" ht="15" hidden="false" customHeight="false" outlineLevel="0" collapsed="false">
      <c r="A828" s="5" t="n">
        <v>827</v>
      </c>
      <c r="B828" s="5" t="s">
        <v>3041</v>
      </c>
      <c r="C828" s="5" t="s">
        <v>1181</v>
      </c>
      <c r="D828" s="5" t="n">
        <v>1</v>
      </c>
      <c r="E828" s="5" t="n">
        <v>0</v>
      </c>
      <c r="F828" s="5" t="n">
        <v>0</v>
      </c>
      <c r="G828" s="5" t="s">
        <v>3042</v>
      </c>
      <c r="H828" s="5" t="s">
        <v>619</v>
      </c>
    </row>
    <row r="829" customFormat="false" ht="15" hidden="false" customHeight="false" outlineLevel="0" collapsed="false">
      <c r="A829" s="5" t="n">
        <v>828</v>
      </c>
      <c r="B829" s="5" t="s">
        <v>3043</v>
      </c>
      <c r="C829" s="5" t="s">
        <v>1181</v>
      </c>
      <c r="D829" s="5" t="n">
        <v>1</v>
      </c>
      <c r="E829" s="5" t="n">
        <v>0</v>
      </c>
      <c r="F829" s="5" t="n">
        <v>0</v>
      </c>
      <c r="G829" s="5" t="s">
        <v>3044</v>
      </c>
      <c r="H829" s="5" t="s">
        <v>726</v>
      </c>
    </row>
    <row r="830" customFormat="false" ht="15" hidden="false" customHeight="false" outlineLevel="0" collapsed="false">
      <c r="A830" s="5" t="n">
        <v>829</v>
      </c>
      <c r="B830" s="5" t="s">
        <v>3045</v>
      </c>
      <c r="C830" s="5" t="s">
        <v>1181</v>
      </c>
      <c r="D830" s="5" t="n">
        <v>1</v>
      </c>
      <c r="E830" s="5" t="n">
        <v>0</v>
      </c>
      <c r="F830" s="5" t="n">
        <v>0</v>
      </c>
      <c r="G830" s="5" t="s">
        <v>3046</v>
      </c>
      <c r="H830" s="5" t="s">
        <v>360</v>
      </c>
    </row>
    <row r="831" customFormat="false" ht="15" hidden="false" customHeight="false" outlineLevel="0" collapsed="false">
      <c r="A831" s="5" t="n">
        <v>830</v>
      </c>
      <c r="B831" s="5" t="s">
        <v>3047</v>
      </c>
      <c r="C831" s="5" t="s">
        <v>1181</v>
      </c>
      <c r="D831" s="5" t="n">
        <v>1</v>
      </c>
      <c r="E831" s="5" t="n">
        <v>0</v>
      </c>
      <c r="F831" s="5" t="n">
        <v>0</v>
      </c>
      <c r="G831" s="5" t="s">
        <v>3048</v>
      </c>
      <c r="H831" s="5" t="s">
        <v>698</v>
      </c>
    </row>
    <row r="832" customFormat="false" ht="15" hidden="false" customHeight="false" outlineLevel="0" collapsed="false">
      <c r="A832" s="5" t="n">
        <v>831</v>
      </c>
      <c r="B832" s="5" t="s">
        <v>3049</v>
      </c>
      <c r="C832" s="5" t="s">
        <v>1181</v>
      </c>
      <c r="D832" s="5" t="n">
        <v>1</v>
      </c>
      <c r="E832" s="5" t="n">
        <v>0</v>
      </c>
      <c r="F832" s="5" t="n">
        <v>0</v>
      </c>
      <c r="G832" s="5" t="s">
        <v>3050</v>
      </c>
      <c r="H832" s="5" t="s">
        <v>1087</v>
      </c>
    </row>
    <row r="833" customFormat="false" ht="15" hidden="false" customHeight="false" outlineLevel="0" collapsed="false">
      <c r="A833" s="5" t="n">
        <v>832</v>
      </c>
      <c r="B833" s="5" t="s">
        <v>3051</v>
      </c>
      <c r="C833" s="5" t="s">
        <v>1181</v>
      </c>
      <c r="D833" s="5" t="n">
        <v>1</v>
      </c>
      <c r="E833" s="5" t="n">
        <v>0</v>
      </c>
      <c r="F833" s="5" t="n">
        <v>0</v>
      </c>
      <c r="G833" s="5" t="s">
        <v>3052</v>
      </c>
      <c r="H833" s="5" t="s">
        <v>622</v>
      </c>
    </row>
    <row r="834" customFormat="false" ht="15" hidden="false" customHeight="false" outlineLevel="0" collapsed="false">
      <c r="A834" s="5" t="n">
        <v>833</v>
      </c>
      <c r="B834" s="5" t="s">
        <v>983</v>
      </c>
      <c r="C834" s="5" t="s">
        <v>1181</v>
      </c>
      <c r="D834" s="5" t="n">
        <v>1</v>
      </c>
      <c r="E834" s="5" t="n">
        <v>0</v>
      </c>
      <c r="F834" s="5" t="n">
        <v>0</v>
      </c>
      <c r="G834" s="5" t="s">
        <v>3053</v>
      </c>
      <c r="H834" s="5" t="s">
        <v>981</v>
      </c>
    </row>
    <row r="835" customFormat="false" ht="15" hidden="false" customHeight="false" outlineLevel="0" collapsed="false">
      <c r="A835" s="5" t="n">
        <v>834</v>
      </c>
      <c r="B835" s="5" t="s">
        <v>3054</v>
      </c>
      <c r="C835" s="5" t="s">
        <v>1181</v>
      </c>
      <c r="D835" s="5" t="n">
        <v>1</v>
      </c>
      <c r="E835" s="5" t="n">
        <v>0</v>
      </c>
      <c r="F835" s="5" t="n">
        <v>0</v>
      </c>
      <c r="G835" s="5" t="s">
        <v>3055</v>
      </c>
      <c r="H835" s="5" t="s">
        <v>619</v>
      </c>
    </row>
    <row r="836" customFormat="false" ht="15" hidden="false" customHeight="false" outlineLevel="0" collapsed="false">
      <c r="A836" s="5" t="n">
        <v>835</v>
      </c>
      <c r="B836" s="5" t="s">
        <v>3056</v>
      </c>
      <c r="C836" s="5" t="s">
        <v>1181</v>
      </c>
      <c r="D836" s="5" t="n">
        <v>1</v>
      </c>
      <c r="E836" s="5" t="n">
        <v>0</v>
      </c>
      <c r="F836" s="5" t="n">
        <v>0</v>
      </c>
      <c r="G836" s="5" t="s">
        <v>3057</v>
      </c>
      <c r="H836" s="5" t="s">
        <v>698</v>
      </c>
    </row>
    <row r="837" customFormat="false" ht="15" hidden="false" customHeight="false" outlineLevel="0" collapsed="false">
      <c r="A837" s="5" t="n">
        <v>836</v>
      </c>
      <c r="B837" s="5" t="s">
        <v>3058</v>
      </c>
      <c r="C837" s="5" t="s">
        <v>1181</v>
      </c>
      <c r="D837" s="5" t="n">
        <v>1</v>
      </c>
      <c r="E837" s="5" t="n">
        <v>0</v>
      </c>
      <c r="F837" s="5" t="n">
        <v>0</v>
      </c>
      <c r="G837" s="5" t="s">
        <v>3059</v>
      </c>
      <c r="H837" s="5" t="s">
        <v>1069</v>
      </c>
    </row>
    <row r="838" customFormat="false" ht="15" hidden="false" customHeight="false" outlineLevel="0" collapsed="false">
      <c r="A838" s="5" t="n">
        <v>837</v>
      </c>
      <c r="B838" s="5" t="s">
        <v>3060</v>
      </c>
      <c r="C838" s="5" t="s">
        <v>1181</v>
      </c>
      <c r="D838" s="5" t="n">
        <v>1</v>
      </c>
      <c r="E838" s="5" t="n">
        <v>0</v>
      </c>
      <c r="F838" s="5" t="n">
        <v>0</v>
      </c>
      <c r="G838" s="5" t="s">
        <v>3061</v>
      </c>
      <c r="H838" s="5" t="s">
        <v>520</v>
      </c>
    </row>
    <row r="839" customFormat="false" ht="15" hidden="false" customHeight="false" outlineLevel="0" collapsed="false">
      <c r="A839" s="5" t="n">
        <v>838</v>
      </c>
      <c r="B839" s="5" t="s">
        <v>3062</v>
      </c>
      <c r="C839" s="5" t="s">
        <v>1181</v>
      </c>
      <c r="D839" s="5" t="n">
        <v>1</v>
      </c>
      <c r="E839" s="5" t="n">
        <v>0</v>
      </c>
      <c r="F839" s="5" t="n">
        <v>0</v>
      </c>
      <c r="G839" s="5" t="s">
        <v>3063</v>
      </c>
      <c r="H839" s="5" t="s">
        <v>747</v>
      </c>
    </row>
    <row r="840" customFormat="false" ht="15" hidden="false" customHeight="false" outlineLevel="0" collapsed="false">
      <c r="A840" s="5" t="n">
        <v>839</v>
      </c>
      <c r="B840" s="5" t="s">
        <v>3064</v>
      </c>
      <c r="C840" s="5" t="s">
        <v>1181</v>
      </c>
      <c r="D840" s="5" t="n">
        <v>1</v>
      </c>
      <c r="E840" s="5" t="n">
        <v>0</v>
      </c>
      <c r="F840" s="5" t="n">
        <v>0</v>
      </c>
      <c r="G840" s="5" t="s">
        <v>3065</v>
      </c>
      <c r="H840" s="5" t="s">
        <v>994</v>
      </c>
    </row>
    <row r="841" customFormat="false" ht="15" hidden="false" customHeight="false" outlineLevel="0" collapsed="false">
      <c r="A841" s="5" t="n">
        <v>840</v>
      </c>
      <c r="B841" s="5" t="s">
        <v>3066</v>
      </c>
      <c r="C841" s="5" t="s">
        <v>1181</v>
      </c>
      <c r="D841" s="5" t="n">
        <v>1</v>
      </c>
      <c r="E841" s="5" t="n">
        <v>0</v>
      </c>
      <c r="F841" s="5" t="n">
        <v>0</v>
      </c>
      <c r="G841" s="5" t="s">
        <v>3067</v>
      </c>
      <c r="H841" s="5" t="s">
        <v>134</v>
      </c>
    </row>
    <row r="842" customFormat="false" ht="15" hidden="false" customHeight="false" outlineLevel="0" collapsed="false">
      <c r="A842" s="5" t="n">
        <v>841</v>
      </c>
      <c r="B842" s="5" t="s">
        <v>3068</v>
      </c>
      <c r="C842" s="5" t="s">
        <v>1181</v>
      </c>
      <c r="D842" s="5" t="n">
        <v>1</v>
      </c>
      <c r="E842" s="5" t="n">
        <v>0</v>
      </c>
      <c r="F842" s="5" t="n">
        <v>0</v>
      </c>
      <c r="G842" s="5" t="s">
        <v>3069</v>
      </c>
      <c r="H842" s="5" t="s">
        <v>460</v>
      </c>
    </row>
    <row r="843" customFormat="false" ht="15" hidden="false" customHeight="false" outlineLevel="0" collapsed="false">
      <c r="A843" s="5" t="n">
        <v>842</v>
      </c>
      <c r="B843" s="5" t="s">
        <v>3070</v>
      </c>
      <c r="C843" s="5" t="s">
        <v>1181</v>
      </c>
      <c r="D843" s="5" t="n">
        <v>1</v>
      </c>
      <c r="E843" s="5" t="n">
        <v>0</v>
      </c>
      <c r="F843" s="5" t="n">
        <v>0</v>
      </c>
      <c r="G843" s="5" t="s">
        <v>3071</v>
      </c>
      <c r="H843" s="5" t="s">
        <v>825</v>
      </c>
    </row>
    <row r="844" customFormat="false" ht="15" hidden="false" customHeight="false" outlineLevel="0" collapsed="false">
      <c r="A844" s="5" t="n">
        <v>843</v>
      </c>
      <c r="B844" s="5" t="s">
        <v>3072</v>
      </c>
      <c r="C844" s="5" t="s">
        <v>1181</v>
      </c>
      <c r="D844" s="5" t="n">
        <v>1</v>
      </c>
      <c r="E844" s="5" t="n">
        <v>0</v>
      </c>
      <c r="F844" s="5" t="n">
        <v>0</v>
      </c>
      <c r="G844" s="5" t="s">
        <v>3073</v>
      </c>
      <c r="H844" s="5" t="s">
        <v>622</v>
      </c>
    </row>
    <row r="845" customFormat="false" ht="15" hidden="false" customHeight="false" outlineLevel="0" collapsed="false">
      <c r="A845" s="5" t="n">
        <v>844</v>
      </c>
      <c r="B845" s="5" t="s">
        <v>3074</v>
      </c>
      <c r="C845" s="5" t="s">
        <v>1181</v>
      </c>
      <c r="D845" s="5" t="n">
        <v>1</v>
      </c>
      <c r="E845" s="5" t="n">
        <v>0</v>
      </c>
      <c r="F845" s="5" t="n">
        <v>0</v>
      </c>
      <c r="G845" s="5" t="s">
        <v>3075</v>
      </c>
      <c r="H845" s="5" t="s">
        <v>578</v>
      </c>
    </row>
    <row r="846" customFormat="false" ht="15" hidden="false" customHeight="false" outlineLevel="0" collapsed="false">
      <c r="A846" s="5" t="n">
        <v>845</v>
      </c>
      <c r="B846" s="5" t="s">
        <v>3076</v>
      </c>
      <c r="C846" s="5" t="s">
        <v>1181</v>
      </c>
      <c r="D846" s="5" t="n">
        <v>1</v>
      </c>
      <c r="E846" s="5" t="n">
        <v>0</v>
      </c>
      <c r="F846" s="5" t="n">
        <v>0</v>
      </c>
      <c r="G846" s="5" t="s">
        <v>3077</v>
      </c>
      <c r="H846" s="5" t="s">
        <v>529</v>
      </c>
    </row>
    <row r="847" customFormat="false" ht="15" hidden="false" customHeight="false" outlineLevel="0" collapsed="false">
      <c r="A847" s="5" t="n">
        <v>846</v>
      </c>
      <c r="B847" s="5" t="s">
        <v>3078</v>
      </c>
      <c r="C847" s="5" t="s">
        <v>1181</v>
      </c>
      <c r="D847" s="5" t="n">
        <v>1</v>
      </c>
      <c r="E847" s="5" t="n">
        <v>0</v>
      </c>
      <c r="F847" s="5" t="n">
        <v>0</v>
      </c>
      <c r="G847" s="5" t="s">
        <v>3079</v>
      </c>
      <c r="H847" s="5" t="s">
        <v>139</v>
      </c>
    </row>
    <row r="848" customFormat="false" ht="15" hidden="false" customHeight="false" outlineLevel="0" collapsed="false">
      <c r="A848" s="5" t="n">
        <v>847</v>
      </c>
      <c r="B848" s="5" t="s">
        <v>1102</v>
      </c>
      <c r="C848" s="5" t="s">
        <v>1181</v>
      </c>
      <c r="D848" s="5" t="n">
        <v>1</v>
      </c>
      <c r="E848" s="5" t="n">
        <v>0</v>
      </c>
      <c r="F848" s="5" t="n">
        <v>0</v>
      </c>
      <c r="G848" s="5" t="s">
        <v>3080</v>
      </c>
      <c r="H848" s="5" t="s">
        <v>1101</v>
      </c>
    </row>
    <row r="849" customFormat="false" ht="15" hidden="false" customHeight="false" outlineLevel="0" collapsed="false">
      <c r="A849" s="5" t="n">
        <v>848</v>
      </c>
      <c r="B849" s="5" t="s">
        <v>3081</v>
      </c>
      <c r="C849" s="5" t="s">
        <v>1181</v>
      </c>
      <c r="D849" s="5" t="n">
        <v>1</v>
      </c>
      <c r="E849" s="5" t="n">
        <v>0</v>
      </c>
      <c r="F849" s="5" t="n">
        <v>0</v>
      </c>
      <c r="G849" s="5" t="s">
        <v>3082</v>
      </c>
      <c r="H849" s="5" t="s">
        <v>1090</v>
      </c>
    </row>
    <row r="850" customFormat="false" ht="15" hidden="false" customHeight="false" outlineLevel="0" collapsed="false">
      <c r="A850" s="5" t="n">
        <v>849</v>
      </c>
      <c r="B850" s="5" t="s">
        <v>3083</v>
      </c>
      <c r="C850" s="5" t="s">
        <v>1181</v>
      </c>
      <c r="D850" s="5" t="n">
        <v>1</v>
      </c>
      <c r="E850" s="5" t="n">
        <v>0</v>
      </c>
      <c r="F850" s="5" t="n">
        <v>0</v>
      </c>
      <c r="G850" s="5" t="s">
        <v>3084</v>
      </c>
      <c r="H850" s="5" t="s">
        <v>1101</v>
      </c>
    </row>
    <row r="851" customFormat="false" ht="15" hidden="false" customHeight="false" outlineLevel="0" collapsed="false">
      <c r="A851" s="5" t="n">
        <v>850</v>
      </c>
      <c r="B851" s="5" t="s">
        <v>3085</v>
      </c>
      <c r="C851" s="5" t="s">
        <v>1181</v>
      </c>
      <c r="D851" s="5" t="n">
        <v>1</v>
      </c>
      <c r="E851" s="5" t="n">
        <v>0</v>
      </c>
      <c r="F851" s="5" t="n">
        <v>0</v>
      </c>
      <c r="G851" s="5" t="s">
        <v>3086</v>
      </c>
      <c r="H851" s="5" t="s">
        <v>622</v>
      </c>
    </row>
    <row r="852" customFormat="false" ht="15" hidden="false" customHeight="false" outlineLevel="0" collapsed="false">
      <c r="A852" s="5" t="n">
        <v>851</v>
      </c>
      <c r="B852" s="5" t="s">
        <v>3087</v>
      </c>
      <c r="C852" s="5" t="s">
        <v>1176</v>
      </c>
      <c r="D852" s="5" t="n">
        <v>1</v>
      </c>
      <c r="E852" s="5" t="n">
        <v>0</v>
      </c>
      <c r="F852" s="5" t="n">
        <v>0</v>
      </c>
      <c r="G852" s="5" t="s">
        <v>3088</v>
      </c>
      <c r="H852" s="5" t="s">
        <v>1085</v>
      </c>
    </row>
    <row r="853" customFormat="false" ht="15" hidden="false" customHeight="false" outlineLevel="0" collapsed="false">
      <c r="A853" s="5" t="n">
        <v>852</v>
      </c>
      <c r="B853" s="5" t="s">
        <v>3089</v>
      </c>
      <c r="C853" s="5" t="s">
        <v>1181</v>
      </c>
      <c r="D853" s="5" t="n">
        <v>1</v>
      </c>
      <c r="E853" s="5" t="n">
        <v>0</v>
      </c>
      <c r="F853" s="5" t="n">
        <v>0</v>
      </c>
      <c r="G853" s="5" t="s">
        <v>3090</v>
      </c>
      <c r="H853" s="5" t="s">
        <v>520</v>
      </c>
    </row>
    <row r="854" customFormat="false" ht="15" hidden="false" customHeight="false" outlineLevel="0" collapsed="false">
      <c r="A854" s="5" t="n">
        <v>853</v>
      </c>
      <c r="B854" s="5" t="s">
        <v>873</v>
      </c>
      <c r="C854" s="5" t="s">
        <v>1181</v>
      </c>
      <c r="D854" s="5" t="n">
        <v>1</v>
      </c>
      <c r="E854" s="5" t="n">
        <v>0</v>
      </c>
      <c r="F854" s="5" t="n">
        <v>0</v>
      </c>
      <c r="G854" s="5" t="s">
        <v>3091</v>
      </c>
      <c r="H854" s="5" t="s">
        <v>872</v>
      </c>
    </row>
    <row r="855" customFormat="false" ht="15" hidden="false" customHeight="false" outlineLevel="0" collapsed="false">
      <c r="A855" s="5" t="n">
        <v>854</v>
      </c>
      <c r="B855" s="5" t="s">
        <v>3092</v>
      </c>
      <c r="C855" s="5" t="s">
        <v>1181</v>
      </c>
      <c r="D855" s="5" t="n">
        <v>1</v>
      </c>
      <c r="E855" s="5" t="n">
        <v>0</v>
      </c>
      <c r="F855" s="5" t="n">
        <v>0</v>
      </c>
      <c r="G855" s="5" t="s">
        <v>3093</v>
      </c>
      <c r="H855" s="5" t="s">
        <v>425</v>
      </c>
    </row>
    <row r="856" customFormat="false" ht="15" hidden="false" customHeight="false" outlineLevel="0" collapsed="false">
      <c r="A856" s="5" t="n">
        <v>855</v>
      </c>
      <c r="B856" s="5" t="s">
        <v>3094</v>
      </c>
      <c r="C856" s="5" t="s">
        <v>1181</v>
      </c>
      <c r="D856" s="5" t="n">
        <v>1</v>
      </c>
      <c r="E856" s="5" t="n">
        <v>0</v>
      </c>
      <c r="F856" s="5" t="n">
        <v>0</v>
      </c>
      <c r="G856" s="5" t="s">
        <v>3095</v>
      </c>
      <c r="H856" s="5" t="s">
        <v>642</v>
      </c>
    </row>
    <row r="857" customFormat="false" ht="15" hidden="false" customHeight="false" outlineLevel="0" collapsed="false">
      <c r="A857" s="5" t="n">
        <v>856</v>
      </c>
      <c r="B857" s="5" t="s">
        <v>3096</v>
      </c>
      <c r="C857" s="5" t="s">
        <v>1181</v>
      </c>
      <c r="D857" s="5" t="n">
        <v>1</v>
      </c>
      <c r="E857" s="5" t="n">
        <v>0</v>
      </c>
      <c r="F857" s="5" t="n">
        <v>0</v>
      </c>
      <c r="G857" s="5" t="s">
        <v>3097</v>
      </c>
      <c r="H857" s="5" t="s">
        <v>642</v>
      </c>
    </row>
    <row r="858" customFormat="false" ht="15" hidden="false" customHeight="false" outlineLevel="0" collapsed="false">
      <c r="A858" s="5" t="n">
        <v>857</v>
      </c>
      <c r="B858" s="5" t="s">
        <v>3098</v>
      </c>
      <c r="C858" s="5" t="s">
        <v>1176</v>
      </c>
      <c r="D858" s="5" t="n">
        <v>1</v>
      </c>
      <c r="E858" s="5" t="n">
        <v>0</v>
      </c>
      <c r="F858" s="5" t="n">
        <v>0</v>
      </c>
      <c r="G858" s="5" t="s">
        <v>3099</v>
      </c>
      <c r="H858" s="5" t="s">
        <v>425</v>
      </c>
    </row>
    <row r="859" customFormat="false" ht="15" hidden="false" customHeight="false" outlineLevel="0" collapsed="false">
      <c r="A859" s="5" t="n">
        <v>858</v>
      </c>
      <c r="B859" s="5" t="s">
        <v>3100</v>
      </c>
      <c r="C859" s="5" t="s">
        <v>1181</v>
      </c>
      <c r="D859" s="5" t="n">
        <v>1</v>
      </c>
      <c r="E859" s="5" t="n">
        <v>0</v>
      </c>
      <c r="F859" s="5" t="n">
        <v>0</v>
      </c>
      <c r="G859" s="5" t="s">
        <v>3101</v>
      </c>
      <c r="H859" s="5" t="s">
        <v>825</v>
      </c>
    </row>
    <row r="860" customFormat="false" ht="15" hidden="false" customHeight="false" outlineLevel="0" collapsed="false">
      <c r="A860" s="5" t="n">
        <v>859</v>
      </c>
      <c r="B860" s="5" t="s">
        <v>3102</v>
      </c>
      <c r="C860" s="5" t="s">
        <v>1181</v>
      </c>
      <c r="D860" s="5" t="n">
        <v>1</v>
      </c>
      <c r="E860" s="5" t="n">
        <v>0</v>
      </c>
      <c r="F860" s="5" t="n">
        <v>0</v>
      </c>
      <c r="G860" s="5" t="s">
        <v>3103</v>
      </c>
      <c r="H860" s="5" t="s">
        <v>698</v>
      </c>
    </row>
    <row r="861" customFormat="false" ht="15" hidden="false" customHeight="false" outlineLevel="0" collapsed="false">
      <c r="A861" s="5" t="n">
        <v>860</v>
      </c>
      <c r="B861" s="5" t="s">
        <v>3104</v>
      </c>
      <c r="C861" s="5" t="s">
        <v>1181</v>
      </c>
      <c r="D861" s="5" t="n">
        <v>1</v>
      </c>
      <c r="E861" s="5" t="n">
        <v>0</v>
      </c>
      <c r="F861" s="5" t="n">
        <v>0</v>
      </c>
      <c r="G861" s="5" t="s">
        <v>3105</v>
      </c>
      <c r="H861" s="5" t="s">
        <v>642</v>
      </c>
    </row>
    <row r="862" customFormat="false" ht="15" hidden="false" customHeight="false" outlineLevel="0" collapsed="false">
      <c r="A862" s="5" t="n">
        <v>861</v>
      </c>
      <c r="B862" s="5" t="s">
        <v>3106</v>
      </c>
      <c r="C862" s="5" t="s">
        <v>1181</v>
      </c>
      <c r="D862" s="5" t="n">
        <v>1</v>
      </c>
      <c r="E862" s="5" t="n">
        <v>0</v>
      </c>
      <c r="F862" s="5" t="n">
        <v>0</v>
      </c>
      <c r="G862" s="5" t="s">
        <v>3107</v>
      </c>
      <c r="H862" s="5" t="s">
        <v>520</v>
      </c>
    </row>
    <row r="863" customFormat="false" ht="15" hidden="false" customHeight="false" outlineLevel="0" collapsed="false">
      <c r="A863" s="5" t="n">
        <v>862</v>
      </c>
      <c r="B863" s="5" t="s">
        <v>3108</v>
      </c>
      <c r="C863" s="5" t="s">
        <v>1181</v>
      </c>
      <c r="D863" s="5" t="n">
        <v>1</v>
      </c>
      <c r="E863" s="5" t="n">
        <v>0</v>
      </c>
      <c r="F863" s="5" t="n">
        <v>0</v>
      </c>
      <c r="G863" s="5" t="s">
        <v>3109</v>
      </c>
      <c r="H863" s="5" t="s">
        <v>535</v>
      </c>
    </row>
    <row r="864" customFormat="false" ht="15" hidden="false" customHeight="false" outlineLevel="0" collapsed="false">
      <c r="A864" s="5" t="n">
        <v>863</v>
      </c>
      <c r="B864" s="5" t="s">
        <v>3110</v>
      </c>
      <c r="C864" s="5" t="s">
        <v>1181</v>
      </c>
      <c r="D864" s="5" t="n">
        <v>1</v>
      </c>
      <c r="E864" s="5" t="n">
        <v>0</v>
      </c>
      <c r="F864" s="5" t="n">
        <v>0</v>
      </c>
      <c r="G864" s="5" t="s">
        <v>3111</v>
      </c>
      <c r="H864" s="5" t="s">
        <v>1101</v>
      </c>
    </row>
    <row r="865" customFormat="false" ht="15" hidden="false" customHeight="false" outlineLevel="0" collapsed="false">
      <c r="A865" s="5" t="n">
        <v>864</v>
      </c>
      <c r="B865" s="5" t="s">
        <v>3112</v>
      </c>
      <c r="C865" s="5" t="s">
        <v>1176</v>
      </c>
      <c r="D865" s="5" t="n">
        <v>1</v>
      </c>
      <c r="E865" s="5" t="n">
        <v>0</v>
      </c>
      <c r="F865" s="5" t="n">
        <v>0</v>
      </c>
      <c r="G865" s="5" t="s">
        <v>3113</v>
      </c>
      <c r="H865" s="5" t="s">
        <v>368</v>
      </c>
    </row>
    <row r="866" customFormat="false" ht="15" hidden="false" customHeight="false" outlineLevel="0" collapsed="false">
      <c r="A866" s="5" t="n">
        <v>865</v>
      </c>
      <c r="B866" s="5" t="s">
        <v>3114</v>
      </c>
      <c r="C866" s="5" t="s">
        <v>1181</v>
      </c>
      <c r="D866" s="5" t="n">
        <v>1</v>
      </c>
      <c r="E866" s="5" t="n">
        <v>0</v>
      </c>
      <c r="F866" s="5" t="n">
        <v>0</v>
      </c>
      <c r="G866" s="5" t="s">
        <v>3115</v>
      </c>
      <c r="H866" s="5" t="s">
        <v>1082</v>
      </c>
    </row>
    <row r="867" customFormat="false" ht="15" hidden="false" customHeight="false" outlineLevel="0" collapsed="false">
      <c r="A867" s="5" t="n">
        <v>866</v>
      </c>
      <c r="B867" s="5" t="s">
        <v>3116</v>
      </c>
      <c r="C867" s="5" t="s">
        <v>1181</v>
      </c>
      <c r="D867" s="5" t="n">
        <v>1</v>
      </c>
      <c r="E867" s="5" t="n">
        <v>0</v>
      </c>
      <c r="F867" s="5" t="n">
        <v>0</v>
      </c>
      <c r="G867" s="5" t="s">
        <v>3117</v>
      </c>
      <c r="H867" s="5" t="s">
        <v>810</v>
      </c>
    </row>
    <row r="868" customFormat="false" ht="15" hidden="false" customHeight="false" outlineLevel="0" collapsed="false">
      <c r="A868" s="5" t="n">
        <v>867</v>
      </c>
      <c r="B868" s="5" t="s">
        <v>3118</v>
      </c>
      <c r="C868" s="5" t="s">
        <v>1181</v>
      </c>
      <c r="D868" s="5" t="n">
        <v>1</v>
      </c>
      <c r="E868" s="5" t="n">
        <v>0</v>
      </c>
      <c r="F868" s="5" t="n">
        <v>0</v>
      </c>
      <c r="G868" s="5" t="s">
        <v>3119</v>
      </c>
      <c r="H868" s="5" t="s">
        <v>633</v>
      </c>
    </row>
    <row r="869" customFormat="false" ht="15" hidden="false" customHeight="false" outlineLevel="0" collapsed="false">
      <c r="A869" s="5" t="n">
        <v>868</v>
      </c>
      <c r="B869" s="5" t="s">
        <v>3120</v>
      </c>
      <c r="C869" s="5" t="s">
        <v>1181</v>
      </c>
      <c r="D869" s="5" t="n">
        <v>1</v>
      </c>
      <c r="E869" s="5" t="n">
        <v>0</v>
      </c>
      <c r="F869" s="5" t="n">
        <v>0</v>
      </c>
      <c r="G869" s="5" t="s">
        <v>3121</v>
      </c>
      <c r="H869" s="5" t="s">
        <v>778</v>
      </c>
    </row>
    <row r="870" customFormat="false" ht="15" hidden="false" customHeight="false" outlineLevel="0" collapsed="false">
      <c r="A870" s="5" t="n">
        <v>869</v>
      </c>
      <c r="B870" s="5" t="s">
        <v>3122</v>
      </c>
      <c r="C870" s="5" t="s">
        <v>1181</v>
      </c>
      <c r="D870" s="5" t="n">
        <v>1</v>
      </c>
      <c r="E870" s="5" t="n">
        <v>0</v>
      </c>
      <c r="F870" s="5" t="n">
        <v>0</v>
      </c>
      <c r="G870" s="5" t="s">
        <v>3123</v>
      </c>
      <c r="H870" s="5" t="s">
        <v>962</v>
      </c>
    </row>
    <row r="871" customFormat="false" ht="15" hidden="false" customHeight="false" outlineLevel="0" collapsed="false">
      <c r="A871" s="5" t="n">
        <v>870</v>
      </c>
      <c r="B871" s="5" t="s">
        <v>3124</v>
      </c>
      <c r="C871" s="5" t="s">
        <v>1181</v>
      </c>
      <c r="D871" s="5" t="n">
        <v>1</v>
      </c>
      <c r="E871" s="5" t="n">
        <v>0</v>
      </c>
      <c r="F871" s="5" t="n">
        <v>0</v>
      </c>
      <c r="G871" s="5" t="s">
        <v>3125</v>
      </c>
      <c r="H871" s="5" t="s">
        <v>353</v>
      </c>
    </row>
    <row r="872" customFormat="false" ht="15" hidden="false" customHeight="false" outlineLevel="0" collapsed="false">
      <c r="A872" s="5" t="n">
        <v>871</v>
      </c>
      <c r="B872" s="5" t="s">
        <v>3126</v>
      </c>
      <c r="C872" s="5" t="s">
        <v>1181</v>
      </c>
      <c r="D872" s="5" t="n">
        <v>1</v>
      </c>
      <c r="E872" s="5" t="n">
        <v>0</v>
      </c>
      <c r="F872" s="5" t="n">
        <v>0</v>
      </c>
      <c r="G872" s="5" t="s">
        <v>3127</v>
      </c>
      <c r="H872" s="5" t="s">
        <v>1029</v>
      </c>
    </row>
    <row r="873" customFormat="false" ht="15" hidden="false" customHeight="false" outlineLevel="0" collapsed="false">
      <c r="A873" s="5" t="n">
        <v>872</v>
      </c>
      <c r="B873" s="5" t="s">
        <v>1030</v>
      </c>
      <c r="C873" s="5" t="s">
        <v>1181</v>
      </c>
      <c r="D873" s="5" t="n">
        <v>1</v>
      </c>
      <c r="E873" s="5" t="n">
        <v>0</v>
      </c>
      <c r="F873" s="5" t="n">
        <v>0</v>
      </c>
      <c r="G873" s="5" t="s">
        <v>3128</v>
      </c>
      <c r="H873" s="5" t="s">
        <v>1029</v>
      </c>
    </row>
    <row r="874" customFormat="false" ht="15" hidden="false" customHeight="false" outlineLevel="0" collapsed="false">
      <c r="A874" s="5" t="n">
        <v>873</v>
      </c>
      <c r="B874" s="5" t="s">
        <v>3129</v>
      </c>
      <c r="C874" s="5" t="s">
        <v>1181</v>
      </c>
      <c r="D874" s="5" t="n">
        <v>1</v>
      </c>
      <c r="E874" s="5" t="n">
        <v>0</v>
      </c>
      <c r="F874" s="5" t="n">
        <v>0</v>
      </c>
      <c r="G874" s="5" t="s">
        <v>3130</v>
      </c>
      <c r="H874" s="5" t="s">
        <v>592</v>
      </c>
    </row>
    <row r="875" customFormat="false" ht="15" hidden="false" customHeight="false" outlineLevel="0" collapsed="false">
      <c r="A875" s="5" t="n">
        <v>874</v>
      </c>
      <c r="B875" s="5" t="s">
        <v>3131</v>
      </c>
      <c r="C875" s="5" t="s">
        <v>1176</v>
      </c>
      <c r="D875" s="5" t="n">
        <v>1</v>
      </c>
      <c r="E875" s="5" t="n">
        <v>0</v>
      </c>
      <c r="F875" s="5" t="n">
        <v>0</v>
      </c>
      <c r="G875" s="5" t="s">
        <v>3132</v>
      </c>
      <c r="H875" s="5" t="s">
        <v>994</v>
      </c>
    </row>
    <row r="876" customFormat="false" ht="15" hidden="false" customHeight="false" outlineLevel="0" collapsed="false">
      <c r="A876" s="5" t="n">
        <v>875</v>
      </c>
      <c r="B876" s="5" t="s">
        <v>3133</v>
      </c>
      <c r="C876" s="5" t="s">
        <v>1181</v>
      </c>
      <c r="D876" s="5" t="n">
        <v>1</v>
      </c>
      <c r="E876" s="5" t="n">
        <v>0</v>
      </c>
      <c r="F876" s="5" t="n">
        <v>0</v>
      </c>
      <c r="G876" s="5" t="s">
        <v>3134</v>
      </c>
      <c r="H876" s="5" t="s">
        <v>733</v>
      </c>
    </row>
    <row r="877" customFormat="false" ht="15" hidden="false" customHeight="false" outlineLevel="0" collapsed="false">
      <c r="A877" s="5" t="n">
        <v>876</v>
      </c>
      <c r="B877" s="5" t="s">
        <v>3135</v>
      </c>
      <c r="C877" s="5" t="s">
        <v>1176</v>
      </c>
      <c r="D877" s="5" t="n">
        <v>1</v>
      </c>
      <c r="E877" s="5" t="n">
        <v>0</v>
      </c>
      <c r="F877" s="5" t="n">
        <v>0</v>
      </c>
      <c r="G877" s="5" t="s">
        <v>3136</v>
      </c>
      <c r="H877" s="5" t="s">
        <v>810</v>
      </c>
    </row>
    <row r="878" customFormat="false" ht="15" hidden="false" customHeight="false" outlineLevel="0" collapsed="false">
      <c r="A878" s="5" t="n">
        <v>877</v>
      </c>
      <c r="B878" s="5" t="s">
        <v>3137</v>
      </c>
      <c r="C878" s="5" t="s">
        <v>1181</v>
      </c>
      <c r="D878" s="5" t="n">
        <v>1</v>
      </c>
      <c r="E878" s="5" t="n">
        <v>0</v>
      </c>
      <c r="F878" s="5" t="n">
        <v>0</v>
      </c>
      <c r="G878" s="5" t="s">
        <v>3138</v>
      </c>
      <c r="H878" s="5" t="s">
        <v>556</v>
      </c>
    </row>
    <row r="879" customFormat="false" ht="15" hidden="false" customHeight="false" outlineLevel="0" collapsed="false">
      <c r="A879" s="5" t="n">
        <v>878</v>
      </c>
      <c r="B879" s="5" t="s">
        <v>3139</v>
      </c>
      <c r="C879" s="5" t="s">
        <v>1181</v>
      </c>
      <c r="D879" s="5" t="n">
        <v>1</v>
      </c>
      <c r="E879" s="5" t="n">
        <v>0</v>
      </c>
      <c r="F879" s="5" t="n">
        <v>0</v>
      </c>
      <c r="G879" s="5" t="s">
        <v>3140</v>
      </c>
      <c r="H879" s="5" t="s">
        <v>624</v>
      </c>
    </row>
    <row r="880" customFormat="false" ht="15" hidden="false" customHeight="false" outlineLevel="0" collapsed="false">
      <c r="A880" s="5" t="n">
        <v>879</v>
      </c>
      <c r="B880" s="5" t="s">
        <v>3141</v>
      </c>
      <c r="C880" s="5" t="s">
        <v>1181</v>
      </c>
      <c r="D880" s="5" t="n">
        <v>1</v>
      </c>
      <c r="E880" s="5" t="n">
        <v>0</v>
      </c>
      <c r="F880" s="5" t="n">
        <v>0</v>
      </c>
      <c r="G880" s="5" t="s">
        <v>3142</v>
      </c>
      <c r="H880" s="5" t="s">
        <v>272</v>
      </c>
    </row>
    <row r="881" customFormat="false" ht="15" hidden="false" customHeight="false" outlineLevel="0" collapsed="false">
      <c r="A881" s="5" t="n">
        <v>880</v>
      </c>
      <c r="B881" s="5" t="s">
        <v>3143</v>
      </c>
      <c r="C881" s="5" t="s">
        <v>1181</v>
      </c>
      <c r="D881" s="5" t="n">
        <v>1</v>
      </c>
      <c r="E881" s="5" t="n">
        <v>0</v>
      </c>
      <c r="F881" s="5" t="n">
        <v>0</v>
      </c>
      <c r="G881" s="5" t="s">
        <v>3144</v>
      </c>
      <c r="H881" s="5" t="s">
        <v>529</v>
      </c>
    </row>
    <row r="882" customFormat="false" ht="15" hidden="false" customHeight="false" outlineLevel="0" collapsed="false">
      <c r="A882" s="5" t="n">
        <v>881</v>
      </c>
      <c r="B882" s="5" t="s">
        <v>3145</v>
      </c>
      <c r="C882" s="5" t="s">
        <v>1181</v>
      </c>
      <c r="D882" s="5" t="n">
        <v>1</v>
      </c>
      <c r="E882" s="5" t="n">
        <v>0</v>
      </c>
      <c r="F882" s="5" t="n">
        <v>0</v>
      </c>
      <c r="G882" s="5" t="s">
        <v>3146</v>
      </c>
      <c r="H882" s="5" t="s">
        <v>1015</v>
      </c>
    </row>
    <row r="883" customFormat="false" ht="15" hidden="false" customHeight="false" outlineLevel="0" collapsed="false">
      <c r="A883" s="5" t="n">
        <v>882</v>
      </c>
      <c r="B883" s="5" t="s">
        <v>3147</v>
      </c>
      <c r="C883" s="5" t="s">
        <v>1181</v>
      </c>
      <c r="D883" s="5" t="n">
        <v>1</v>
      </c>
      <c r="E883" s="5" t="n">
        <v>0</v>
      </c>
      <c r="F883" s="5" t="n">
        <v>0</v>
      </c>
      <c r="G883" s="5" t="s">
        <v>3148</v>
      </c>
      <c r="H883" s="5" t="s">
        <v>642</v>
      </c>
    </row>
    <row r="884" customFormat="false" ht="15" hidden="false" customHeight="false" outlineLevel="0" collapsed="false">
      <c r="A884" s="5" t="n">
        <v>883</v>
      </c>
      <c r="B884" s="5" t="s">
        <v>3149</v>
      </c>
      <c r="C884" s="5" t="s">
        <v>1181</v>
      </c>
      <c r="D884" s="5" t="n">
        <v>1</v>
      </c>
      <c r="E884" s="5" t="n">
        <v>0</v>
      </c>
      <c r="F884" s="5" t="n">
        <v>0</v>
      </c>
      <c r="G884" s="5" t="s">
        <v>3150</v>
      </c>
      <c r="H884" s="5" t="s">
        <v>409</v>
      </c>
    </row>
    <row r="885" customFormat="false" ht="15" hidden="false" customHeight="false" outlineLevel="0" collapsed="false">
      <c r="A885" s="5" t="n">
        <v>884</v>
      </c>
      <c r="B885" s="5" t="s">
        <v>3151</v>
      </c>
      <c r="C885" s="5" t="s">
        <v>1181</v>
      </c>
      <c r="D885" s="5" t="n">
        <v>1</v>
      </c>
      <c r="E885" s="5" t="n">
        <v>0</v>
      </c>
      <c r="F885" s="5" t="n">
        <v>0</v>
      </c>
      <c r="G885" s="5" t="s">
        <v>3152</v>
      </c>
      <c r="H885" s="5" t="s">
        <v>83</v>
      </c>
    </row>
    <row r="886" customFormat="false" ht="15" hidden="false" customHeight="false" outlineLevel="0" collapsed="false">
      <c r="A886" s="5" t="n">
        <v>885</v>
      </c>
      <c r="B886" s="5" t="s">
        <v>3153</v>
      </c>
      <c r="C886" s="5" t="s">
        <v>1181</v>
      </c>
      <c r="D886" s="5" t="n">
        <v>1</v>
      </c>
      <c r="E886" s="5" t="n">
        <v>0</v>
      </c>
      <c r="F886" s="5" t="n">
        <v>0</v>
      </c>
      <c r="G886" s="5" t="s">
        <v>3154</v>
      </c>
      <c r="H886" s="5" t="s">
        <v>529</v>
      </c>
    </row>
    <row r="887" customFormat="false" ht="15" hidden="false" customHeight="false" outlineLevel="0" collapsed="false">
      <c r="A887" s="5" t="n">
        <v>886</v>
      </c>
      <c r="B887" s="5" t="s">
        <v>3155</v>
      </c>
      <c r="C887" s="5" t="s">
        <v>1181</v>
      </c>
      <c r="D887" s="5" t="n">
        <v>1</v>
      </c>
      <c r="E887" s="5" t="n">
        <v>0</v>
      </c>
      <c r="F887" s="5" t="n">
        <v>0</v>
      </c>
      <c r="G887" s="5" t="s">
        <v>3156</v>
      </c>
      <c r="H887" s="5" t="s">
        <v>526</v>
      </c>
    </row>
    <row r="888" customFormat="false" ht="15" hidden="false" customHeight="false" outlineLevel="0" collapsed="false">
      <c r="A888" s="5" t="n">
        <v>887</v>
      </c>
      <c r="B888" s="5" t="s">
        <v>3157</v>
      </c>
      <c r="C888" s="5" t="s">
        <v>1181</v>
      </c>
      <c r="D888" s="5" t="n">
        <v>1</v>
      </c>
      <c r="E888" s="5" t="n">
        <v>0</v>
      </c>
      <c r="F888" s="5" t="n">
        <v>0</v>
      </c>
      <c r="G888" s="5" t="s">
        <v>3158</v>
      </c>
      <c r="H888" s="5" t="s">
        <v>652</v>
      </c>
    </row>
    <row r="889" customFormat="false" ht="15" hidden="false" customHeight="false" outlineLevel="0" collapsed="false">
      <c r="A889" s="5" t="n">
        <v>888</v>
      </c>
      <c r="B889" s="5" t="s">
        <v>3159</v>
      </c>
      <c r="C889" s="5" t="s">
        <v>1181</v>
      </c>
      <c r="D889" s="5" t="n">
        <v>1</v>
      </c>
      <c r="E889" s="5" t="n">
        <v>0</v>
      </c>
      <c r="F889" s="5" t="n">
        <v>0</v>
      </c>
      <c r="G889" s="5" t="s">
        <v>3160</v>
      </c>
      <c r="H889" s="5" t="s">
        <v>109</v>
      </c>
    </row>
    <row r="890" customFormat="false" ht="15" hidden="false" customHeight="false" outlineLevel="0" collapsed="false">
      <c r="A890" s="5" t="n">
        <v>889</v>
      </c>
      <c r="B890" s="5" t="s">
        <v>827</v>
      </c>
      <c r="C890" s="5" t="s">
        <v>1181</v>
      </c>
      <c r="D890" s="5" t="n">
        <v>1</v>
      </c>
      <c r="E890" s="5" t="n">
        <v>0</v>
      </c>
      <c r="F890" s="5" t="n">
        <v>0</v>
      </c>
      <c r="G890" s="5" t="s">
        <v>3161</v>
      </c>
      <c r="H890" s="5" t="s">
        <v>826</v>
      </c>
    </row>
    <row r="891" customFormat="false" ht="15" hidden="false" customHeight="false" outlineLevel="0" collapsed="false">
      <c r="A891" s="5" t="n">
        <v>890</v>
      </c>
      <c r="B891" s="5" t="s">
        <v>3162</v>
      </c>
      <c r="C891" s="5" t="s">
        <v>1181</v>
      </c>
      <c r="D891" s="5" t="n">
        <v>1</v>
      </c>
      <c r="E891" s="5" t="n">
        <v>0</v>
      </c>
      <c r="F891" s="5" t="n">
        <v>0</v>
      </c>
      <c r="G891" s="5" t="s">
        <v>3163</v>
      </c>
      <c r="H891" s="5" t="s">
        <v>799</v>
      </c>
    </row>
    <row r="892" customFormat="false" ht="15" hidden="false" customHeight="false" outlineLevel="0" collapsed="false">
      <c r="A892" s="5" t="n">
        <v>891</v>
      </c>
      <c r="B892" s="5" t="s">
        <v>3164</v>
      </c>
      <c r="C892" s="5" t="s">
        <v>1181</v>
      </c>
      <c r="D892" s="5" t="n">
        <v>1</v>
      </c>
      <c r="E892" s="5" t="n">
        <v>0</v>
      </c>
      <c r="F892" s="5" t="n">
        <v>0</v>
      </c>
      <c r="G892" s="5" t="s">
        <v>3165</v>
      </c>
      <c r="H892" s="5" t="s">
        <v>580</v>
      </c>
    </row>
    <row r="893" customFormat="false" ht="15" hidden="false" customHeight="false" outlineLevel="0" collapsed="false">
      <c r="A893" s="5" t="n">
        <v>892</v>
      </c>
      <c r="B893" s="5" t="s">
        <v>3166</v>
      </c>
      <c r="C893" s="5" t="s">
        <v>1181</v>
      </c>
      <c r="D893" s="5" t="n">
        <v>1</v>
      </c>
      <c r="E893" s="5" t="n">
        <v>0</v>
      </c>
      <c r="F893" s="5" t="n">
        <v>0</v>
      </c>
      <c r="G893" s="5" t="s">
        <v>3167</v>
      </c>
      <c r="H893" s="5" t="s">
        <v>999</v>
      </c>
    </row>
    <row r="894" customFormat="false" ht="15" hidden="false" customHeight="false" outlineLevel="0" collapsed="false">
      <c r="A894" s="5" t="n">
        <v>893</v>
      </c>
      <c r="B894" s="5" t="s">
        <v>3168</v>
      </c>
      <c r="C894" s="5" t="s">
        <v>1181</v>
      </c>
      <c r="D894" s="5" t="n">
        <v>1</v>
      </c>
      <c r="E894" s="5" t="n">
        <v>0</v>
      </c>
      <c r="F894" s="5" t="n">
        <v>0</v>
      </c>
      <c r="G894" s="5" t="s">
        <v>3169</v>
      </c>
      <c r="H894" s="5" t="s">
        <v>631</v>
      </c>
    </row>
    <row r="895" customFormat="false" ht="15" hidden="false" customHeight="false" outlineLevel="0" collapsed="false">
      <c r="A895" s="5" t="n">
        <v>894</v>
      </c>
      <c r="B895" s="5" t="s">
        <v>3170</v>
      </c>
      <c r="C895" s="5" t="s">
        <v>1181</v>
      </c>
      <c r="D895" s="5" t="n">
        <v>1</v>
      </c>
      <c r="E895" s="5" t="n">
        <v>0</v>
      </c>
      <c r="F895" s="5" t="n">
        <v>0</v>
      </c>
      <c r="G895" s="5" t="s">
        <v>3171</v>
      </c>
      <c r="H895" s="5" t="s">
        <v>846</v>
      </c>
    </row>
    <row r="896" customFormat="false" ht="15" hidden="false" customHeight="false" outlineLevel="0" collapsed="false">
      <c r="A896" s="5" t="n">
        <v>895</v>
      </c>
      <c r="B896" s="5" t="s">
        <v>3172</v>
      </c>
      <c r="C896" s="5" t="s">
        <v>1181</v>
      </c>
      <c r="D896" s="5" t="n">
        <v>1</v>
      </c>
      <c r="E896" s="5" t="n">
        <v>0</v>
      </c>
      <c r="F896" s="5" t="n">
        <v>0</v>
      </c>
      <c r="G896" s="5" t="s">
        <v>3173</v>
      </c>
      <c r="H896" s="5" t="s">
        <v>619</v>
      </c>
    </row>
    <row r="897" customFormat="false" ht="15" hidden="false" customHeight="false" outlineLevel="0" collapsed="false">
      <c r="A897" s="5" t="n">
        <v>896</v>
      </c>
      <c r="B897" s="5" t="s">
        <v>3174</v>
      </c>
      <c r="C897" s="5" t="s">
        <v>1181</v>
      </c>
      <c r="D897" s="5" t="n">
        <v>1</v>
      </c>
      <c r="E897" s="5" t="n">
        <v>0</v>
      </c>
      <c r="F897" s="5" t="n">
        <v>0</v>
      </c>
      <c r="G897" s="5" t="s">
        <v>3175</v>
      </c>
      <c r="H897" s="5" t="s">
        <v>587</v>
      </c>
    </row>
    <row r="898" customFormat="false" ht="15" hidden="false" customHeight="false" outlineLevel="0" collapsed="false">
      <c r="A898" s="5" t="n">
        <v>897</v>
      </c>
      <c r="B898" s="5" t="s">
        <v>3176</v>
      </c>
      <c r="C898" s="5" t="s">
        <v>1181</v>
      </c>
      <c r="D898" s="5" t="n">
        <v>1</v>
      </c>
      <c r="E898" s="5" t="n">
        <v>0</v>
      </c>
      <c r="F898" s="5" t="n">
        <v>0</v>
      </c>
      <c r="G898" s="5" t="s">
        <v>3177</v>
      </c>
      <c r="H898" s="5" t="s">
        <v>810</v>
      </c>
    </row>
    <row r="899" customFormat="false" ht="15" hidden="false" customHeight="false" outlineLevel="0" collapsed="false">
      <c r="A899" s="5" t="n">
        <v>898</v>
      </c>
      <c r="B899" s="5" t="s">
        <v>3178</v>
      </c>
      <c r="C899" s="5" t="s">
        <v>1181</v>
      </c>
      <c r="D899" s="5" t="n">
        <v>1</v>
      </c>
      <c r="E899" s="5" t="n">
        <v>0</v>
      </c>
      <c r="F899" s="5" t="n">
        <v>0</v>
      </c>
      <c r="G899" s="5" t="s">
        <v>3179</v>
      </c>
      <c r="H899" s="5" t="s">
        <v>1143</v>
      </c>
    </row>
    <row r="900" customFormat="false" ht="15" hidden="false" customHeight="false" outlineLevel="0" collapsed="false">
      <c r="A900" s="5" t="n">
        <v>899</v>
      </c>
      <c r="B900" s="5" t="s">
        <v>1078</v>
      </c>
      <c r="C900" s="5" t="s">
        <v>1176</v>
      </c>
      <c r="D900" s="5" t="n">
        <v>1</v>
      </c>
      <c r="E900" s="5" t="n">
        <v>0</v>
      </c>
      <c r="F900" s="5" t="n">
        <v>0</v>
      </c>
      <c r="G900" s="5" t="s">
        <v>3180</v>
      </c>
      <c r="H900" s="5" t="s">
        <v>1077</v>
      </c>
    </row>
    <row r="901" customFormat="false" ht="15" hidden="false" customHeight="false" outlineLevel="0" collapsed="false">
      <c r="A901" s="5" t="n">
        <v>900</v>
      </c>
      <c r="B901" s="5" t="s">
        <v>3181</v>
      </c>
      <c r="C901" s="5" t="s">
        <v>1181</v>
      </c>
      <c r="D901" s="5" t="n">
        <v>1</v>
      </c>
      <c r="E901" s="5" t="n">
        <v>0</v>
      </c>
      <c r="F901" s="5" t="n">
        <v>0</v>
      </c>
      <c r="G901" s="5" t="s">
        <v>3182</v>
      </c>
      <c r="H901" s="5" t="s">
        <v>718</v>
      </c>
    </row>
    <row r="902" customFormat="false" ht="15" hidden="false" customHeight="false" outlineLevel="0" collapsed="false">
      <c r="A902" s="5" t="n">
        <v>901</v>
      </c>
      <c r="B902" s="5" t="s">
        <v>3183</v>
      </c>
      <c r="C902" s="5" t="s">
        <v>1181</v>
      </c>
      <c r="D902" s="5" t="n">
        <v>1</v>
      </c>
      <c r="E902" s="5" t="n">
        <v>0</v>
      </c>
      <c r="F902" s="5" t="n">
        <v>0</v>
      </c>
      <c r="G902" s="5" t="s">
        <v>3184</v>
      </c>
      <c r="H902" s="5" t="s">
        <v>624</v>
      </c>
    </row>
    <row r="903" customFormat="false" ht="15" hidden="false" customHeight="false" outlineLevel="0" collapsed="false">
      <c r="A903" s="5" t="n">
        <v>902</v>
      </c>
      <c r="B903" s="5" t="s">
        <v>3185</v>
      </c>
      <c r="C903" s="5" t="s">
        <v>1181</v>
      </c>
      <c r="D903" s="5" t="n">
        <v>1</v>
      </c>
      <c r="E903" s="5" t="n">
        <v>0</v>
      </c>
      <c r="F903" s="5" t="n">
        <v>0</v>
      </c>
      <c r="G903" s="5" t="s">
        <v>3186</v>
      </c>
      <c r="H903" s="5" t="s">
        <v>642</v>
      </c>
    </row>
    <row r="904" customFormat="false" ht="15" hidden="false" customHeight="false" outlineLevel="0" collapsed="false">
      <c r="A904" s="5" t="n">
        <v>903</v>
      </c>
      <c r="B904" s="5" t="s">
        <v>3187</v>
      </c>
      <c r="C904" s="5" t="s">
        <v>1181</v>
      </c>
      <c r="D904" s="5" t="n">
        <v>1</v>
      </c>
      <c r="E904" s="5" t="n">
        <v>0</v>
      </c>
      <c r="F904" s="5" t="n">
        <v>0</v>
      </c>
      <c r="G904" s="5" t="s">
        <v>3188</v>
      </c>
      <c r="H904" s="5" t="s">
        <v>1000</v>
      </c>
    </row>
    <row r="905" customFormat="false" ht="15" hidden="false" customHeight="false" outlineLevel="0" collapsed="false">
      <c r="A905" s="5" t="n">
        <v>904</v>
      </c>
      <c r="B905" s="5" t="s">
        <v>713</v>
      </c>
      <c r="C905" s="5" t="s">
        <v>1181</v>
      </c>
      <c r="D905" s="5" t="n">
        <v>1</v>
      </c>
      <c r="E905" s="5" t="n">
        <v>0</v>
      </c>
      <c r="F905" s="5" t="n">
        <v>0</v>
      </c>
      <c r="G905" s="5" t="s">
        <v>3189</v>
      </c>
      <c r="H905" s="5" t="s">
        <v>712</v>
      </c>
    </row>
    <row r="906" customFormat="false" ht="15" hidden="false" customHeight="false" outlineLevel="0" collapsed="false">
      <c r="A906" s="5" t="n">
        <v>905</v>
      </c>
      <c r="B906" s="5" t="s">
        <v>3190</v>
      </c>
      <c r="C906" s="5" t="s">
        <v>1181</v>
      </c>
      <c r="D906" s="5" t="n">
        <v>1</v>
      </c>
      <c r="E906" s="5" t="n">
        <v>0</v>
      </c>
      <c r="F906" s="5" t="n">
        <v>0</v>
      </c>
      <c r="G906" s="5" t="s">
        <v>3191</v>
      </c>
      <c r="H906" s="5" t="s">
        <v>1085</v>
      </c>
    </row>
    <row r="907" customFormat="false" ht="15" hidden="false" customHeight="false" outlineLevel="0" collapsed="false">
      <c r="A907" s="5" t="n">
        <v>906</v>
      </c>
      <c r="B907" s="5" t="s">
        <v>3192</v>
      </c>
      <c r="C907" s="5" t="s">
        <v>1181</v>
      </c>
      <c r="D907" s="5" t="n">
        <v>1</v>
      </c>
      <c r="E907" s="5" t="n">
        <v>0</v>
      </c>
      <c r="F907" s="5" t="n">
        <v>0</v>
      </c>
      <c r="G907" s="5" t="s">
        <v>3193</v>
      </c>
      <c r="H907" s="5" t="s">
        <v>381</v>
      </c>
    </row>
    <row r="908" customFormat="false" ht="15" hidden="false" customHeight="false" outlineLevel="0" collapsed="false">
      <c r="A908" s="5" t="n">
        <v>907</v>
      </c>
      <c r="B908" s="5" t="s">
        <v>660</v>
      </c>
      <c r="C908" s="5" t="s">
        <v>1181</v>
      </c>
      <c r="D908" s="5" t="n">
        <v>1</v>
      </c>
      <c r="E908" s="5" t="n">
        <v>0</v>
      </c>
      <c r="F908" s="5" t="n">
        <v>0</v>
      </c>
      <c r="G908" s="5" t="s">
        <v>3194</v>
      </c>
      <c r="H908" s="5" t="s">
        <v>659</v>
      </c>
    </row>
    <row r="909" customFormat="false" ht="15" hidden="false" customHeight="false" outlineLevel="0" collapsed="false">
      <c r="A909" s="5" t="n">
        <v>908</v>
      </c>
      <c r="B909" s="5" t="s">
        <v>3195</v>
      </c>
      <c r="C909" s="5" t="s">
        <v>1181</v>
      </c>
      <c r="D909" s="5" t="n">
        <v>1</v>
      </c>
      <c r="E909" s="5" t="n">
        <v>0</v>
      </c>
      <c r="F909" s="5" t="n">
        <v>0</v>
      </c>
      <c r="G909" s="5" t="s">
        <v>3196</v>
      </c>
      <c r="H909" s="5" t="s">
        <v>272</v>
      </c>
    </row>
    <row r="910" customFormat="false" ht="15" hidden="false" customHeight="false" outlineLevel="0" collapsed="false">
      <c r="A910" s="5" t="n">
        <v>909</v>
      </c>
      <c r="B910" s="5" t="s">
        <v>1032</v>
      </c>
      <c r="C910" s="5" t="s">
        <v>1181</v>
      </c>
      <c r="D910" s="5" t="n">
        <v>1</v>
      </c>
      <c r="E910" s="5" t="n">
        <v>0</v>
      </c>
      <c r="F910" s="5" t="n">
        <v>0</v>
      </c>
      <c r="G910" s="5" t="s">
        <v>3197</v>
      </c>
      <c r="H910" s="5" t="s">
        <v>1031</v>
      </c>
    </row>
    <row r="911" customFormat="false" ht="15" hidden="false" customHeight="false" outlineLevel="0" collapsed="false">
      <c r="A911" s="5" t="n">
        <v>910</v>
      </c>
      <c r="B911" s="5" t="s">
        <v>3198</v>
      </c>
      <c r="C911" s="5" t="s">
        <v>1181</v>
      </c>
      <c r="D911" s="5" t="n">
        <v>1</v>
      </c>
      <c r="E911" s="5" t="n">
        <v>0</v>
      </c>
      <c r="F911" s="5" t="n">
        <v>0</v>
      </c>
      <c r="G911" s="5" t="s">
        <v>3199</v>
      </c>
      <c r="H911" s="5" t="s">
        <v>611</v>
      </c>
    </row>
    <row r="912" customFormat="false" ht="15" hidden="false" customHeight="false" outlineLevel="0" collapsed="false">
      <c r="A912" s="5" t="n">
        <v>911</v>
      </c>
      <c r="B912" s="5" t="s">
        <v>3200</v>
      </c>
      <c r="C912" s="5" t="s">
        <v>1181</v>
      </c>
      <c r="D912" s="5" t="n">
        <v>1</v>
      </c>
      <c r="E912" s="5" t="n">
        <v>0</v>
      </c>
      <c r="F912" s="5" t="n">
        <v>0</v>
      </c>
      <c r="G912" s="5" t="s">
        <v>3201</v>
      </c>
      <c r="H912" s="5" t="s">
        <v>383</v>
      </c>
    </row>
    <row r="913" customFormat="false" ht="15" hidden="false" customHeight="false" outlineLevel="0" collapsed="false">
      <c r="A913" s="5" t="n">
        <v>912</v>
      </c>
      <c r="B913" s="5" t="s">
        <v>3202</v>
      </c>
      <c r="C913" s="5" t="s">
        <v>1181</v>
      </c>
      <c r="D913" s="5" t="n">
        <v>1</v>
      </c>
      <c r="E913" s="5" t="n">
        <v>0</v>
      </c>
      <c r="F913" s="5" t="n">
        <v>0</v>
      </c>
      <c r="G913" s="5" t="s">
        <v>3203</v>
      </c>
      <c r="H913" s="5" t="s">
        <v>1000</v>
      </c>
    </row>
    <row r="914" customFormat="false" ht="15" hidden="false" customHeight="false" outlineLevel="0" collapsed="false">
      <c r="A914" s="5" t="n">
        <v>913</v>
      </c>
      <c r="B914" s="5" t="s">
        <v>3204</v>
      </c>
      <c r="C914" s="5" t="s">
        <v>1181</v>
      </c>
      <c r="D914" s="5" t="n">
        <v>1</v>
      </c>
      <c r="E914" s="5" t="n">
        <v>0</v>
      </c>
      <c r="F914" s="5" t="n">
        <v>0</v>
      </c>
      <c r="G914" s="5" t="s">
        <v>3205</v>
      </c>
      <c r="H914" s="5" t="s">
        <v>633</v>
      </c>
    </row>
    <row r="915" customFormat="false" ht="15" hidden="false" customHeight="false" outlineLevel="0" collapsed="false">
      <c r="A915" s="5" t="n">
        <v>914</v>
      </c>
      <c r="B915" s="5" t="s">
        <v>3206</v>
      </c>
      <c r="C915" s="5" t="s">
        <v>1181</v>
      </c>
      <c r="D915" s="5" t="n">
        <v>1</v>
      </c>
      <c r="E915" s="5" t="n">
        <v>0</v>
      </c>
      <c r="F915" s="5" t="n">
        <v>0</v>
      </c>
      <c r="G915" s="5" t="s">
        <v>3207</v>
      </c>
      <c r="H915" s="5" t="s">
        <v>360</v>
      </c>
    </row>
    <row r="916" customFormat="false" ht="15" hidden="false" customHeight="false" outlineLevel="0" collapsed="false">
      <c r="A916" s="5" t="n">
        <v>915</v>
      </c>
      <c r="B916" s="5" t="s">
        <v>3208</v>
      </c>
      <c r="C916" s="5" t="s">
        <v>1181</v>
      </c>
      <c r="D916" s="5" t="n">
        <v>1</v>
      </c>
      <c r="E916" s="5" t="n">
        <v>0</v>
      </c>
      <c r="F916" s="5" t="n">
        <v>0</v>
      </c>
      <c r="G916" s="5" t="s">
        <v>3209</v>
      </c>
      <c r="H916" s="5" t="s">
        <v>700</v>
      </c>
    </row>
    <row r="917" customFormat="false" ht="15" hidden="false" customHeight="false" outlineLevel="0" collapsed="false">
      <c r="A917" s="5" t="n">
        <v>916</v>
      </c>
      <c r="B917" s="5" t="s">
        <v>3210</v>
      </c>
      <c r="C917" s="5" t="s">
        <v>1181</v>
      </c>
      <c r="D917" s="5" t="n">
        <v>1</v>
      </c>
      <c r="E917" s="5" t="n">
        <v>0</v>
      </c>
      <c r="F917" s="5" t="n">
        <v>0</v>
      </c>
      <c r="G917" s="5" t="s">
        <v>3211</v>
      </c>
      <c r="H917" s="5" t="s">
        <v>356</v>
      </c>
    </row>
    <row r="918" customFormat="false" ht="15" hidden="false" customHeight="false" outlineLevel="0" collapsed="false">
      <c r="A918" s="5" t="n">
        <v>917</v>
      </c>
      <c r="B918" s="5" t="s">
        <v>3212</v>
      </c>
      <c r="C918" s="5" t="s">
        <v>1181</v>
      </c>
      <c r="D918" s="5" t="n">
        <v>1</v>
      </c>
      <c r="E918" s="5" t="n">
        <v>0</v>
      </c>
      <c r="F918" s="5" t="n">
        <v>0</v>
      </c>
      <c r="G918" s="5" t="s">
        <v>3213</v>
      </c>
      <c r="H918" s="5" t="s">
        <v>1143</v>
      </c>
    </row>
    <row r="919" customFormat="false" ht="15" hidden="false" customHeight="false" outlineLevel="0" collapsed="false">
      <c r="A919" s="5" t="n">
        <v>918</v>
      </c>
      <c r="B919" s="5" t="s">
        <v>3214</v>
      </c>
      <c r="C919" s="5" t="s">
        <v>1181</v>
      </c>
      <c r="D919" s="5" t="n">
        <v>1</v>
      </c>
      <c r="E919" s="5" t="n">
        <v>0</v>
      </c>
      <c r="F919" s="5" t="n">
        <v>0</v>
      </c>
      <c r="G919" s="5" t="s">
        <v>3215</v>
      </c>
      <c r="H919" s="5" t="s">
        <v>1105</v>
      </c>
    </row>
    <row r="920" customFormat="false" ht="15" hidden="false" customHeight="false" outlineLevel="0" collapsed="false">
      <c r="A920" s="5" t="n">
        <v>919</v>
      </c>
      <c r="B920" s="5" t="s">
        <v>3216</v>
      </c>
      <c r="C920" s="5" t="s">
        <v>1181</v>
      </c>
      <c r="D920" s="5" t="n">
        <v>1</v>
      </c>
      <c r="E920" s="5" t="n">
        <v>0</v>
      </c>
      <c r="F920" s="5" t="n">
        <v>0</v>
      </c>
      <c r="G920" s="5" t="s">
        <v>3217</v>
      </c>
      <c r="H920" s="5" t="s">
        <v>1143</v>
      </c>
    </row>
    <row r="921" customFormat="false" ht="15" hidden="false" customHeight="false" outlineLevel="0" collapsed="false">
      <c r="A921" s="5" t="n">
        <v>920</v>
      </c>
      <c r="B921" s="5" t="s">
        <v>3218</v>
      </c>
      <c r="C921" s="5" t="s">
        <v>1181</v>
      </c>
      <c r="D921" s="5" t="n">
        <v>1</v>
      </c>
      <c r="E921" s="5" t="n">
        <v>0</v>
      </c>
      <c r="F921" s="5" t="n">
        <v>0</v>
      </c>
      <c r="G921" s="5" t="s">
        <v>3219</v>
      </c>
      <c r="H921" s="5" t="s">
        <v>726</v>
      </c>
    </row>
    <row r="922" customFormat="false" ht="15" hidden="false" customHeight="false" outlineLevel="0" collapsed="false">
      <c r="A922" s="5" t="n">
        <v>921</v>
      </c>
      <c r="B922" s="5" t="s">
        <v>3220</v>
      </c>
      <c r="C922" s="5" t="s">
        <v>1181</v>
      </c>
      <c r="D922" s="5" t="n">
        <v>1</v>
      </c>
      <c r="E922" s="5" t="n">
        <v>0</v>
      </c>
      <c r="F922" s="5" t="n">
        <v>0</v>
      </c>
      <c r="G922" s="5" t="s">
        <v>3221</v>
      </c>
      <c r="H922" s="5" t="s">
        <v>556</v>
      </c>
    </row>
    <row r="923" customFormat="false" ht="15" hidden="false" customHeight="false" outlineLevel="0" collapsed="false">
      <c r="A923" s="5" t="n">
        <v>922</v>
      </c>
      <c r="B923" s="5" t="s">
        <v>3222</v>
      </c>
      <c r="C923" s="5" t="s">
        <v>1181</v>
      </c>
      <c r="D923" s="5" t="n">
        <v>1</v>
      </c>
      <c r="E923" s="5" t="n">
        <v>0</v>
      </c>
      <c r="F923" s="5" t="n">
        <v>0</v>
      </c>
      <c r="G923" s="5" t="s">
        <v>3223</v>
      </c>
      <c r="H923" s="5" t="s">
        <v>535</v>
      </c>
    </row>
    <row r="924" customFormat="false" ht="15" hidden="false" customHeight="false" outlineLevel="0" collapsed="false">
      <c r="A924" s="5" t="n">
        <v>923</v>
      </c>
      <c r="B924" s="5" t="s">
        <v>3224</v>
      </c>
      <c r="C924" s="5" t="s">
        <v>1181</v>
      </c>
      <c r="D924" s="5" t="n">
        <v>1</v>
      </c>
      <c r="E924" s="5" t="n">
        <v>0</v>
      </c>
      <c r="F924" s="5" t="n">
        <v>0</v>
      </c>
      <c r="G924" s="5" t="s">
        <v>3225</v>
      </c>
      <c r="H924" s="5" t="s">
        <v>1118</v>
      </c>
    </row>
    <row r="925" customFormat="false" ht="15" hidden="false" customHeight="false" outlineLevel="0" collapsed="false">
      <c r="A925" s="5" t="n">
        <v>924</v>
      </c>
      <c r="B925" s="5" t="s">
        <v>92</v>
      </c>
      <c r="C925" s="5" t="s">
        <v>1181</v>
      </c>
      <c r="D925" s="5" t="n">
        <v>1</v>
      </c>
      <c r="E925" s="5" t="n">
        <v>0</v>
      </c>
      <c r="F925" s="5" t="n">
        <v>0</v>
      </c>
      <c r="G925" s="5" t="s">
        <v>3226</v>
      </c>
      <c r="H925" s="5" t="s">
        <v>91</v>
      </c>
    </row>
    <row r="926" customFormat="false" ht="15" hidden="false" customHeight="false" outlineLevel="0" collapsed="false">
      <c r="A926" s="5" t="n">
        <v>925</v>
      </c>
      <c r="B926" s="5" t="s">
        <v>3227</v>
      </c>
      <c r="C926" s="5" t="s">
        <v>1181</v>
      </c>
      <c r="D926" s="5" t="n">
        <v>1</v>
      </c>
      <c r="E926" s="5" t="n">
        <v>0</v>
      </c>
      <c r="F926" s="5" t="n">
        <v>0</v>
      </c>
      <c r="G926" s="5" t="s">
        <v>3228</v>
      </c>
      <c r="H926" s="5" t="s">
        <v>513</v>
      </c>
    </row>
    <row r="927" customFormat="false" ht="15" hidden="false" customHeight="false" outlineLevel="0" collapsed="false">
      <c r="A927" s="5" t="n">
        <v>926</v>
      </c>
      <c r="B927" s="5" t="s">
        <v>3229</v>
      </c>
      <c r="C927" s="5" t="s">
        <v>1181</v>
      </c>
      <c r="D927" s="5" t="n">
        <v>1</v>
      </c>
      <c r="E927" s="5" t="n">
        <v>0</v>
      </c>
      <c r="F927" s="5" t="n">
        <v>0</v>
      </c>
      <c r="G927" s="5" t="s">
        <v>3230</v>
      </c>
      <c r="H927" s="5" t="s">
        <v>460</v>
      </c>
    </row>
    <row r="928" customFormat="false" ht="15" hidden="false" customHeight="false" outlineLevel="0" collapsed="false">
      <c r="A928" s="5" t="n">
        <v>927</v>
      </c>
      <c r="B928" s="5" t="s">
        <v>3231</v>
      </c>
      <c r="C928" s="5" t="s">
        <v>1181</v>
      </c>
      <c r="D928" s="5" t="n">
        <v>1</v>
      </c>
      <c r="E928" s="5" t="n">
        <v>0</v>
      </c>
      <c r="F928" s="5" t="n">
        <v>0</v>
      </c>
      <c r="G928" s="5" t="s">
        <v>3232</v>
      </c>
      <c r="H928" s="5" t="s">
        <v>1145</v>
      </c>
    </row>
    <row r="929" customFormat="false" ht="15" hidden="false" customHeight="false" outlineLevel="0" collapsed="false">
      <c r="A929" s="5" t="n">
        <v>928</v>
      </c>
      <c r="B929" s="5" t="s">
        <v>3233</v>
      </c>
      <c r="C929" s="5" t="s">
        <v>1181</v>
      </c>
      <c r="D929" s="5" t="n">
        <v>1</v>
      </c>
      <c r="E929" s="5" t="n">
        <v>0</v>
      </c>
      <c r="F929" s="5" t="n">
        <v>0</v>
      </c>
      <c r="G929" s="5" t="s">
        <v>3234</v>
      </c>
      <c r="H929" s="5" t="s">
        <v>1033</v>
      </c>
    </row>
    <row r="930" customFormat="false" ht="15" hidden="false" customHeight="false" outlineLevel="0" collapsed="false">
      <c r="A930" s="5" t="n">
        <v>929</v>
      </c>
      <c r="B930" s="5" t="s">
        <v>3235</v>
      </c>
      <c r="C930" s="5" t="s">
        <v>1181</v>
      </c>
      <c r="D930" s="5" t="n">
        <v>1</v>
      </c>
      <c r="E930" s="5" t="n">
        <v>0</v>
      </c>
      <c r="F930" s="5" t="n">
        <v>0</v>
      </c>
      <c r="G930" s="5" t="s">
        <v>3236</v>
      </c>
      <c r="H930" s="5" t="s">
        <v>426</v>
      </c>
    </row>
    <row r="931" customFormat="false" ht="15" hidden="false" customHeight="false" outlineLevel="0" collapsed="false">
      <c r="A931" s="5" t="n">
        <v>930</v>
      </c>
      <c r="B931" s="5" t="s">
        <v>3237</v>
      </c>
      <c r="C931" s="5" t="s">
        <v>1181</v>
      </c>
      <c r="D931" s="5" t="n">
        <v>1</v>
      </c>
      <c r="E931" s="5" t="n">
        <v>0</v>
      </c>
      <c r="F931" s="5" t="n">
        <v>0</v>
      </c>
      <c r="G931" s="5" t="s">
        <v>3238</v>
      </c>
      <c r="H931" s="5" t="s">
        <v>407</v>
      </c>
    </row>
    <row r="932" customFormat="false" ht="15" hidden="false" customHeight="false" outlineLevel="0" collapsed="false">
      <c r="A932" s="5" t="n">
        <v>931</v>
      </c>
      <c r="B932" s="5" t="s">
        <v>417</v>
      </c>
      <c r="C932" s="5" t="s">
        <v>1181</v>
      </c>
      <c r="D932" s="5" t="n">
        <v>1</v>
      </c>
      <c r="E932" s="5" t="n">
        <v>0</v>
      </c>
      <c r="F932" s="5" t="n">
        <v>0</v>
      </c>
      <c r="G932" s="5" t="s">
        <v>3239</v>
      </c>
      <c r="H932" s="5" t="s">
        <v>416</v>
      </c>
    </row>
    <row r="933" customFormat="false" ht="15" hidden="false" customHeight="false" outlineLevel="0" collapsed="false">
      <c r="A933" s="5" t="n">
        <v>932</v>
      </c>
      <c r="B933" s="5" t="s">
        <v>677</v>
      </c>
      <c r="C933" s="5" t="s">
        <v>1181</v>
      </c>
      <c r="D933" s="5" t="n">
        <v>1</v>
      </c>
      <c r="E933" s="5" t="n">
        <v>0</v>
      </c>
      <c r="F933" s="5" t="n">
        <v>0</v>
      </c>
      <c r="G933" s="5" t="s">
        <v>3240</v>
      </c>
      <c r="H933" s="5" t="s">
        <v>676</v>
      </c>
    </row>
    <row r="934" customFormat="false" ht="15" hidden="false" customHeight="false" outlineLevel="0" collapsed="false">
      <c r="A934" s="5" t="n">
        <v>933</v>
      </c>
      <c r="B934" s="5" t="s">
        <v>151</v>
      </c>
      <c r="C934" s="5" t="s">
        <v>1181</v>
      </c>
      <c r="D934" s="5" t="n">
        <v>1</v>
      </c>
      <c r="E934" s="5" t="n">
        <v>0</v>
      </c>
      <c r="F934" s="5" t="n">
        <v>0</v>
      </c>
      <c r="G934" s="5" t="s">
        <v>3241</v>
      </c>
      <c r="H934" s="5" t="s">
        <v>150</v>
      </c>
    </row>
    <row r="935" customFormat="false" ht="15" hidden="false" customHeight="false" outlineLevel="0" collapsed="false">
      <c r="A935" s="5" t="n">
        <v>934</v>
      </c>
      <c r="B935" s="5" t="s">
        <v>3242</v>
      </c>
      <c r="C935" s="5" t="s">
        <v>1181</v>
      </c>
      <c r="D935" s="5" t="n">
        <v>1</v>
      </c>
      <c r="E935" s="5" t="n">
        <v>0</v>
      </c>
      <c r="F935" s="5" t="n">
        <v>0</v>
      </c>
      <c r="G935" s="5" t="s">
        <v>3243</v>
      </c>
      <c r="H935" s="5" t="s">
        <v>424</v>
      </c>
    </row>
    <row r="936" customFormat="false" ht="15" hidden="false" customHeight="false" outlineLevel="0" collapsed="false">
      <c r="A936" s="5" t="n">
        <v>935</v>
      </c>
      <c r="B936" s="5" t="s">
        <v>3244</v>
      </c>
      <c r="C936" s="5" t="s">
        <v>1181</v>
      </c>
      <c r="D936" s="5" t="n">
        <v>1</v>
      </c>
      <c r="E936" s="5" t="n">
        <v>0</v>
      </c>
      <c r="F936" s="5" t="n">
        <v>0</v>
      </c>
      <c r="G936" s="5" t="s">
        <v>3245</v>
      </c>
      <c r="H936" s="5" t="s">
        <v>403</v>
      </c>
    </row>
    <row r="937" customFormat="false" ht="15" hidden="false" customHeight="false" outlineLevel="0" collapsed="false">
      <c r="A937" s="5" t="n">
        <v>936</v>
      </c>
      <c r="B937" s="5" t="s">
        <v>3246</v>
      </c>
      <c r="C937" s="5" t="s">
        <v>1181</v>
      </c>
      <c r="D937" s="5" t="n">
        <v>1</v>
      </c>
      <c r="E937" s="5" t="n">
        <v>0</v>
      </c>
      <c r="F937" s="5" t="n">
        <v>0</v>
      </c>
      <c r="G937" s="5" t="s">
        <v>3247</v>
      </c>
      <c r="H937" s="5" t="s">
        <v>799</v>
      </c>
    </row>
    <row r="938" customFormat="false" ht="15" hidden="false" customHeight="false" outlineLevel="0" collapsed="false">
      <c r="A938" s="5" t="n">
        <v>937</v>
      </c>
      <c r="B938" s="5" t="s">
        <v>3248</v>
      </c>
      <c r="C938" s="5" t="s">
        <v>1181</v>
      </c>
      <c r="D938" s="5" t="n">
        <v>1</v>
      </c>
      <c r="E938" s="5" t="n">
        <v>0</v>
      </c>
      <c r="F938" s="5" t="n">
        <v>0</v>
      </c>
      <c r="G938" s="5" t="s">
        <v>3249</v>
      </c>
      <c r="H938" s="5" t="s">
        <v>214</v>
      </c>
    </row>
    <row r="939" customFormat="false" ht="15" hidden="false" customHeight="false" outlineLevel="0" collapsed="false">
      <c r="A939" s="5" t="n">
        <v>938</v>
      </c>
      <c r="B939" s="5" t="s">
        <v>3250</v>
      </c>
      <c r="C939" s="5" t="s">
        <v>1181</v>
      </c>
      <c r="D939" s="5" t="n">
        <v>1</v>
      </c>
      <c r="E939" s="5" t="n">
        <v>0</v>
      </c>
      <c r="F939" s="5" t="n">
        <v>0</v>
      </c>
      <c r="G939" s="5" t="s">
        <v>3251</v>
      </c>
      <c r="H939" s="5" t="s">
        <v>561</v>
      </c>
    </row>
    <row r="940" customFormat="false" ht="15" hidden="false" customHeight="false" outlineLevel="0" collapsed="false">
      <c r="A940" s="5" t="n">
        <v>939</v>
      </c>
      <c r="B940" s="5" t="s">
        <v>3252</v>
      </c>
      <c r="C940" s="5" t="s">
        <v>1181</v>
      </c>
      <c r="D940" s="5" t="n">
        <v>1</v>
      </c>
      <c r="E940" s="5" t="n">
        <v>0</v>
      </c>
      <c r="F940" s="5" t="n">
        <v>0</v>
      </c>
      <c r="G940" s="5" t="s">
        <v>3253</v>
      </c>
      <c r="H940" s="5" t="s">
        <v>1105</v>
      </c>
    </row>
    <row r="941" customFormat="false" ht="15" hidden="false" customHeight="false" outlineLevel="0" collapsed="false">
      <c r="A941" s="5" t="n">
        <v>940</v>
      </c>
      <c r="B941" s="5" t="s">
        <v>3254</v>
      </c>
      <c r="C941" s="5" t="s">
        <v>1181</v>
      </c>
      <c r="D941" s="5" t="n">
        <v>1</v>
      </c>
      <c r="E941" s="5" t="n">
        <v>0</v>
      </c>
      <c r="F941" s="5" t="n">
        <v>0</v>
      </c>
      <c r="G941" s="5" t="s">
        <v>3255</v>
      </c>
      <c r="H941" s="5" t="s">
        <v>733</v>
      </c>
    </row>
    <row r="942" customFormat="false" ht="15" hidden="false" customHeight="false" outlineLevel="0" collapsed="false">
      <c r="A942" s="5" t="n">
        <v>941</v>
      </c>
      <c r="B942" s="5" t="s">
        <v>311</v>
      </c>
      <c r="C942" s="5" t="s">
        <v>1181</v>
      </c>
      <c r="D942" s="5" t="n">
        <v>1</v>
      </c>
      <c r="E942" s="5" t="n">
        <v>0</v>
      </c>
      <c r="F942" s="5" t="n">
        <v>0</v>
      </c>
      <c r="G942" s="5" t="s">
        <v>3256</v>
      </c>
      <c r="H942" s="5" t="s">
        <v>310</v>
      </c>
    </row>
    <row r="943" customFormat="false" ht="15" hidden="false" customHeight="false" outlineLevel="0" collapsed="false">
      <c r="A943" s="5" t="n">
        <v>942</v>
      </c>
      <c r="B943" s="5" t="s">
        <v>3257</v>
      </c>
      <c r="C943" s="5" t="s">
        <v>1181</v>
      </c>
      <c r="D943" s="5" t="n">
        <v>1</v>
      </c>
      <c r="E943" s="5" t="n">
        <v>0</v>
      </c>
      <c r="F943" s="5" t="n">
        <v>0</v>
      </c>
      <c r="G943" s="5" t="s">
        <v>3258</v>
      </c>
      <c r="H943" s="5" t="s">
        <v>1049</v>
      </c>
    </row>
    <row r="944" customFormat="false" ht="15" hidden="false" customHeight="false" outlineLevel="0" collapsed="false">
      <c r="A944" s="5" t="n">
        <v>943</v>
      </c>
      <c r="B944" s="5" t="s">
        <v>382</v>
      </c>
      <c r="C944" s="5" t="s">
        <v>1181</v>
      </c>
      <c r="D944" s="5" t="n">
        <v>1</v>
      </c>
      <c r="E944" s="5" t="n">
        <v>0</v>
      </c>
      <c r="F944" s="5" t="n">
        <v>0</v>
      </c>
      <c r="G944" s="5" t="s">
        <v>3259</v>
      </c>
      <c r="H944" s="5" t="s">
        <v>381</v>
      </c>
    </row>
    <row r="945" customFormat="false" ht="15" hidden="false" customHeight="false" outlineLevel="0" collapsed="false">
      <c r="A945" s="5" t="n">
        <v>944</v>
      </c>
      <c r="B945" s="5" t="s">
        <v>3260</v>
      </c>
      <c r="C945" s="5" t="s">
        <v>1181</v>
      </c>
      <c r="D945" s="5" t="n">
        <v>1</v>
      </c>
      <c r="E945" s="5" t="n">
        <v>0</v>
      </c>
      <c r="F945" s="5" t="n">
        <v>0</v>
      </c>
      <c r="G945" s="5" t="s">
        <v>3261</v>
      </c>
      <c r="H945" s="5" t="s">
        <v>712</v>
      </c>
    </row>
    <row r="946" customFormat="false" ht="15" hidden="false" customHeight="false" outlineLevel="0" collapsed="false">
      <c r="A946" s="5" t="n">
        <v>945</v>
      </c>
      <c r="B946" s="5" t="s">
        <v>3262</v>
      </c>
      <c r="C946" s="5" t="s">
        <v>1181</v>
      </c>
      <c r="D946" s="5" t="n">
        <v>1</v>
      </c>
      <c r="E946" s="5" t="n">
        <v>0</v>
      </c>
      <c r="F946" s="5" t="n">
        <v>0</v>
      </c>
      <c r="G946" s="5" t="s">
        <v>3263</v>
      </c>
      <c r="H946" s="5" t="s">
        <v>1069</v>
      </c>
    </row>
    <row r="947" customFormat="false" ht="15" hidden="false" customHeight="false" outlineLevel="0" collapsed="false">
      <c r="A947" s="5" t="n">
        <v>946</v>
      </c>
      <c r="B947" s="5" t="s">
        <v>3264</v>
      </c>
      <c r="C947" s="5" t="s">
        <v>1181</v>
      </c>
      <c r="D947" s="5" t="n">
        <v>1</v>
      </c>
      <c r="E947" s="5" t="n">
        <v>0</v>
      </c>
      <c r="F947" s="5" t="n">
        <v>0</v>
      </c>
      <c r="G947" s="5" t="s">
        <v>3265</v>
      </c>
      <c r="H947" s="5" t="s">
        <v>535</v>
      </c>
    </row>
    <row r="948" customFormat="false" ht="15" hidden="false" customHeight="false" outlineLevel="0" collapsed="false">
      <c r="A948" s="5" t="n">
        <v>947</v>
      </c>
      <c r="B948" s="5" t="s">
        <v>3266</v>
      </c>
      <c r="C948" s="5" t="s">
        <v>1181</v>
      </c>
      <c r="D948" s="5" t="n">
        <v>1</v>
      </c>
      <c r="E948" s="5" t="n">
        <v>0</v>
      </c>
      <c r="F948" s="5" t="n">
        <v>0</v>
      </c>
      <c r="G948" s="5" t="s">
        <v>3267</v>
      </c>
      <c r="H948" s="5" t="s">
        <v>1085</v>
      </c>
    </row>
    <row r="949" customFormat="false" ht="15" hidden="false" customHeight="false" outlineLevel="0" collapsed="false">
      <c r="A949" s="5" t="n">
        <v>948</v>
      </c>
      <c r="B949" s="5" t="s">
        <v>3268</v>
      </c>
      <c r="C949" s="5" t="s">
        <v>1181</v>
      </c>
      <c r="D949" s="5" t="n">
        <v>1</v>
      </c>
      <c r="E949" s="5" t="n">
        <v>0</v>
      </c>
      <c r="F949" s="5" t="n">
        <v>0</v>
      </c>
      <c r="G949" s="5" t="s">
        <v>3269</v>
      </c>
      <c r="H949" s="5" t="s">
        <v>414</v>
      </c>
    </row>
    <row r="950" customFormat="false" ht="15" hidden="false" customHeight="false" outlineLevel="0" collapsed="false">
      <c r="A950" s="5" t="n">
        <v>949</v>
      </c>
      <c r="B950" s="5" t="s">
        <v>3270</v>
      </c>
      <c r="C950" s="5" t="s">
        <v>1181</v>
      </c>
      <c r="D950" s="5" t="n">
        <v>1</v>
      </c>
      <c r="E950" s="5" t="n">
        <v>0</v>
      </c>
      <c r="F950" s="5" t="n">
        <v>0</v>
      </c>
      <c r="G950" s="5" t="s">
        <v>3271</v>
      </c>
      <c r="H950" s="5" t="s">
        <v>552</v>
      </c>
    </row>
    <row r="951" customFormat="false" ht="15" hidden="false" customHeight="false" outlineLevel="0" collapsed="false">
      <c r="A951" s="5" t="n">
        <v>950</v>
      </c>
      <c r="B951" s="5" t="s">
        <v>3272</v>
      </c>
      <c r="C951" s="5" t="s">
        <v>1181</v>
      </c>
      <c r="D951" s="5" t="n">
        <v>1</v>
      </c>
      <c r="E951" s="5" t="n">
        <v>0</v>
      </c>
      <c r="F951" s="5" t="n">
        <v>0</v>
      </c>
      <c r="G951" s="5" t="s">
        <v>3273</v>
      </c>
      <c r="H951" s="5" t="s">
        <v>1133</v>
      </c>
    </row>
    <row r="952" customFormat="false" ht="15" hidden="false" customHeight="false" outlineLevel="0" collapsed="false">
      <c r="A952" s="5" t="n">
        <v>951</v>
      </c>
      <c r="B952" s="5" t="s">
        <v>3274</v>
      </c>
      <c r="C952" s="5" t="s">
        <v>1181</v>
      </c>
      <c r="D952" s="5" t="n">
        <v>1</v>
      </c>
      <c r="E952" s="5" t="n">
        <v>0</v>
      </c>
      <c r="F952" s="5" t="n">
        <v>0</v>
      </c>
      <c r="G952" s="5" t="s">
        <v>3275</v>
      </c>
      <c r="H952" s="5" t="s">
        <v>529</v>
      </c>
    </row>
    <row r="953" customFormat="false" ht="15" hidden="false" customHeight="false" outlineLevel="0" collapsed="false">
      <c r="A953" s="5" t="n">
        <v>952</v>
      </c>
      <c r="B953" s="5" t="s">
        <v>3276</v>
      </c>
      <c r="C953" s="5" t="s">
        <v>1181</v>
      </c>
      <c r="D953" s="5" t="n">
        <v>1</v>
      </c>
      <c r="E953" s="5" t="n">
        <v>0</v>
      </c>
      <c r="F953" s="5" t="n">
        <v>0</v>
      </c>
      <c r="G953" s="5" t="s">
        <v>3277</v>
      </c>
      <c r="H953" s="5" t="s">
        <v>578</v>
      </c>
    </row>
    <row r="954" customFormat="false" ht="15" hidden="false" customHeight="false" outlineLevel="0" collapsed="false">
      <c r="A954" s="5" t="n">
        <v>953</v>
      </c>
      <c r="B954" s="5" t="s">
        <v>3278</v>
      </c>
      <c r="C954" s="5" t="s">
        <v>1181</v>
      </c>
      <c r="D954" s="5" t="n">
        <v>1</v>
      </c>
      <c r="E954" s="5" t="n">
        <v>0</v>
      </c>
      <c r="F954" s="5" t="n">
        <v>0</v>
      </c>
      <c r="G954" s="5" t="s">
        <v>3279</v>
      </c>
      <c r="H954" s="5" t="s">
        <v>414</v>
      </c>
    </row>
    <row r="955" customFormat="false" ht="15" hidden="false" customHeight="false" outlineLevel="0" collapsed="false">
      <c r="A955" s="5" t="n">
        <v>954</v>
      </c>
      <c r="B955" s="5" t="s">
        <v>3280</v>
      </c>
      <c r="C955" s="5" t="s">
        <v>1176</v>
      </c>
      <c r="D955" s="5" t="n">
        <v>1</v>
      </c>
      <c r="E955" s="5" t="n">
        <v>0</v>
      </c>
      <c r="F955" s="5" t="n">
        <v>0</v>
      </c>
      <c r="G955" s="5" t="s">
        <v>3281</v>
      </c>
      <c r="H955" s="5" t="s">
        <v>1033</v>
      </c>
    </row>
    <row r="956" customFormat="false" ht="15" hidden="false" customHeight="false" outlineLevel="0" collapsed="false">
      <c r="A956" s="5" t="n">
        <v>955</v>
      </c>
      <c r="B956" s="5" t="s">
        <v>3282</v>
      </c>
      <c r="C956" s="5" t="s">
        <v>1176</v>
      </c>
      <c r="D956" s="5" t="n">
        <v>1</v>
      </c>
      <c r="E956" s="5" t="n">
        <v>0</v>
      </c>
      <c r="F956" s="5" t="n">
        <v>0</v>
      </c>
      <c r="G956" s="5" t="s">
        <v>3283</v>
      </c>
      <c r="H956" s="5" t="s">
        <v>533</v>
      </c>
    </row>
    <row r="957" customFormat="false" ht="15" hidden="false" customHeight="false" outlineLevel="0" collapsed="false">
      <c r="A957" s="5" t="n">
        <v>956</v>
      </c>
      <c r="B957" s="5" t="s">
        <v>3284</v>
      </c>
      <c r="C957" s="5" t="s">
        <v>1181</v>
      </c>
      <c r="D957" s="5" t="n">
        <v>1</v>
      </c>
      <c r="E957" s="5" t="n">
        <v>0</v>
      </c>
      <c r="F957" s="5" t="n">
        <v>0</v>
      </c>
      <c r="G957" s="5" t="s">
        <v>3285</v>
      </c>
      <c r="H957" s="5" t="s">
        <v>1095</v>
      </c>
    </row>
    <row r="958" customFormat="false" ht="15" hidden="false" customHeight="false" outlineLevel="0" collapsed="false">
      <c r="A958" s="5" t="n">
        <v>957</v>
      </c>
      <c r="B958" s="5" t="s">
        <v>3286</v>
      </c>
      <c r="C958" s="5" t="s">
        <v>1181</v>
      </c>
      <c r="D958" s="5" t="n">
        <v>1</v>
      </c>
      <c r="E958" s="5" t="n">
        <v>0</v>
      </c>
      <c r="F958" s="5" t="n">
        <v>0</v>
      </c>
      <c r="G958" s="5" t="s">
        <v>3287</v>
      </c>
      <c r="H958" s="5" t="s">
        <v>810</v>
      </c>
    </row>
    <row r="959" customFormat="false" ht="15" hidden="false" customHeight="false" outlineLevel="0" collapsed="false">
      <c r="A959" s="5" t="n">
        <v>958</v>
      </c>
      <c r="B959" s="5" t="s">
        <v>3288</v>
      </c>
      <c r="C959" s="5" t="s">
        <v>1181</v>
      </c>
      <c r="D959" s="5" t="n">
        <v>1</v>
      </c>
      <c r="E959" s="5" t="n">
        <v>0</v>
      </c>
      <c r="F959" s="5" t="n">
        <v>0</v>
      </c>
      <c r="G959" s="5" t="s">
        <v>3289</v>
      </c>
      <c r="H959" s="5" t="s">
        <v>506</v>
      </c>
    </row>
    <row r="960" customFormat="false" ht="15" hidden="false" customHeight="false" outlineLevel="0" collapsed="false">
      <c r="A960" s="5" t="n">
        <v>959</v>
      </c>
      <c r="B960" s="5" t="s">
        <v>3290</v>
      </c>
      <c r="C960" s="5" t="s">
        <v>1176</v>
      </c>
      <c r="D960" s="5" t="n">
        <v>1</v>
      </c>
      <c r="E960" s="5" t="n">
        <v>0</v>
      </c>
      <c r="F960" s="5" t="n">
        <v>0</v>
      </c>
      <c r="G960" s="5" t="s">
        <v>3291</v>
      </c>
      <c r="H960" s="5" t="s">
        <v>1085</v>
      </c>
    </row>
    <row r="961" customFormat="false" ht="15" hidden="false" customHeight="false" outlineLevel="0" collapsed="false">
      <c r="A961" s="5" t="n">
        <v>960</v>
      </c>
      <c r="B961" s="5" t="s">
        <v>3292</v>
      </c>
      <c r="C961" s="5" t="s">
        <v>1181</v>
      </c>
      <c r="D961" s="5" t="n">
        <v>1</v>
      </c>
      <c r="E961" s="5" t="n">
        <v>0</v>
      </c>
      <c r="F961" s="5" t="n">
        <v>0</v>
      </c>
      <c r="G961" s="5" t="s">
        <v>3293</v>
      </c>
      <c r="H961" s="5" t="s">
        <v>1147</v>
      </c>
    </row>
    <row r="962" customFormat="false" ht="15" hidden="false" customHeight="false" outlineLevel="0" collapsed="false">
      <c r="A962" s="5" t="n">
        <v>961</v>
      </c>
      <c r="B962" s="5" t="s">
        <v>3294</v>
      </c>
      <c r="C962" s="5" t="s">
        <v>1181</v>
      </c>
      <c r="D962" s="5" t="n">
        <v>1</v>
      </c>
      <c r="E962" s="5" t="n">
        <v>0</v>
      </c>
      <c r="F962" s="5" t="n">
        <v>0</v>
      </c>
      <c r="G962" s="5" t="s">
        <v>3295</v>
      </c>
      <c r="H962" s="5" t="s">
        <v>1026</v>
      </c>
    </row>
    <row r="963" customFormat="false" ht="15" hidden="false" customHeight="false" outlineLevel="0" collapsed="false">
      <c r="A963" s="5" t="n">
        <v>962</v>
      </c>
      <c r="B963" s="5" t="s">
        <v>3296</v>
      </c>
      <c r="C963" s="5" t="s">
        <v>1181</v>
      </c>
      <c r="D963" s="5" t="n">
        <v>1</v>
      </c>
      <c r="E963" s="5" t="n">
        <v>0</v>
      </c>
      <c r="F963" s="5" t="n">
        <v>0</v>
      </c>
      <c r="G963" s="5" t="s">
        <v>3297</v>
      </c>
      <c r="H963" s="5" t="s">
        <v>778</v>
      </c>
    </row>
    <row r="964" customFormat="false" ht="15" hidden="false" customHeight="false" outlineLevel="0" collapsed="false">
      <c r="A964" s="5" t="n">
        <v>963</v>
      </c>
      <c r="B964" s="5" t="s">
        <v>3298</v>
      </c>
      <c r="C964" s="5" t="s">
        <v>1181</v>
      </c>
      <c r="D964" s="5" t="n">
        <v>1</v>
      </c>
      <c r="E964" s="5" t="n">
        <v>0</v>
      </c>
      <c r="F964" s="5" t="n">
        <v>0</v>
      </c>
      <c r="G964" s="5" t="s">
        <v>3299</v>
      </c>
      <c r="H964" s="5" t="s">
        <v>637</v>
      </c>
    </row>
    <row r="965" customFormat="false" ht="15" hidden="false" customHeight="false" outlineLevel="0" collapsed="false">
      <c r="A965" s="5" t="n">
        <v>964</v>
      </c>
      <c r="B965" s="5" t="s">
        <v>3300</v>
      </c>
      <c r="C965" s="5" t="s">
        <v>1181</v>
      </c>
      <c r="D965" s="5" t="n">
        <v>1</v>
      </c>
      <c r="E965" s="5" t="n">
        <v>0</v>
      </c>
      <c r="F965" s="5" t="n">
        <v>0</v>
      </c>
      <c r="G965" s="5" t="s">
        <v>3301</v>
      </c>
      <c r="H965" s="5" t="s">
        <v>426</v>
      </c>
    </row>
    <row r="966" customFormat="false" ht="15" hidden="false" customHeight="false" outlineLevel="0" collapsed="false">
      <c r="A966" s="5" t="n">
        <v>965</v>
      </c>
      <c r="B966" s="5" t="s">
        <v>3302</v>
      </c>
      <c r="C966" s="5" t="s">
        <v>1181</v>
      </c>
      <c r="D966" s="5" t="n">
        <v>1</v>
      </c>
      <c r="E966" s="5" t="n">
        <v>0</v>
      </c>
      <c r="F966" s="5" t="n">
        <v>0</v>
      </c>
      <c r="G966" s="5" t="s">
        <v>3303</v>
      </c>
      <c r="H966" s="5" t="s">
        <v>426</v>
      </c>
    </row>
    <row r="967" customFormat="false" ht="15" hidden="false" customHeight="false" outlineLevel="0" collapsed="false">
      <c r="A967" s="5" t="n">
        <v>966</v>
      </c>
      <c r="B967" s="5" t="s">
        <v>3304</v>
      </c>
      <c r="C967" s="5" t="s">
        <v>1181</v>
      </c>
      <c r="D967" s="5" t="n">
        <v>1</v>
      </c>
      <c r="E967" s="5" t="n">
        <v>0</v>
      </c>
      <c r="F967" s="5" t="n">
        <v>0</v>
      </c>
      <c r="G967" s="5" t="s">
        <v>3305</v>
      </c>
      <c r="H967" s="5" t="s">
        <v>1049</v>
      </c>
    </row>
    <row r="968" customFormat="false" ht="15" hidden="false" customHeight="false" outlineLevel="0" collapsed="false">
      <c r="A968" s="5" t="n">
        <v>967</v>
      </c>
      <c r="B968" s="5" t="s">
        <v>3306</v>
      </c>
      <c r="C968" s="5" t="s">
        <v>1181</v>
      </c>
      <c r="D968" s="5" t="n">
        <v>1</v>
      </c>
      <c r="E968" s="5" t="n">
        <v>0</v>
      </c>
      <c r="F968" s="5" t="n">
        <v>0</v>
      </c>
      <c r="G968" s="5" t="s">
        <v>3307</v>
      </c>
      <c r="H968" s="5" t="s">
        <v>533</v>
      </c>
    </row>
    <row r="969" customFormat="false" ht="15" hidden="false" customHeight="false" outlineLevel="0" collapsed="false">
      <c r="A969" s="5" t="n">
        <v>968</v>
      </c>
      <c r="B969" s="5" t="s">
        <v>3308</v>
      </c>
      <c r="C969" s="5" t="s">
        <v>1181</v>
      </c>
      <c r="D969" s="5" t="n">
        <v>1</v>
      </c>
      <c r="E969" s="5" t="n">
        <v>0</v>
      </c>
      <c r="F969" s="5" t="n">
        <v>0</v>
      </c>
      <c r="G969" s="5" t="s">
        <v>3309</v>
      </c>
      <c r="H969" s="5" t="s">
        <v>698</v>
      </c>
    </row>
    <row r="970" customFormat="false" ht="15" hidden="false" customHeight="false" outlineLevel="0" collapsed="false">
      <c r="A970" s="5" t="n">
        <v>969</v>
      </c>
      <c r="B970" s="5" t="s">
        <v>947</v>
      </c>
      <c r="C970" s="5" t="s">
        <v>1181</v>
      </c>
      <c r="D970" s="5" t="n">
        <v>1</v>
      </c>
      <c r="E970" s="5" t="n">
        <v>0</v>
      </c>
      <c r="F970" s="5" t="n">
        <v>0</v>
      </c>
      <c r="G970" s="5" t="s">
        <v>3310</v>
      </c>
      <c r="H970" s="5" t="s">
        <v>946</v>
      </c>
    </row>
    <row r="971" customFormat="false" ht="15" hidden="false" customHeight="false" outlineLevel="0" collapsed="false">
      <c r="A971" s="5" t="n">
        <v>970</v>
      </c>
      <c r="B971" s="5" t="s">
        <v>3311</v>
      </c>
      <c r="C971" s="5" t="s">
        <v>1181</v>
      </c>
      <c r="D971" s="5" t="n">
        <v>1</v>
      </c>
      <c r="E971" s="5" t="n">
        <v>0</v>
      </c>
      <c r="F971" s="5" t="n">
        <v>0</v>
      </c>
      <c r="G971" s="5" t="s">
        <v>3312</v>
      </c>
      <c r="H971" s="5" t="s">
        <v>690</v>
      </c>
    </row>
    <row r="972" customFormat="false" ht="15" hidden="false" customHeight="false" outlineLevel="0" collapsed="false">
      <c r="A972" s="5" t="n">
        <v>971</v>
      </c>
      <c r="B972" s="5" t="s">
        <v>761</v>
      </c>
      <c r="C972" s="5" t="s">
        <v>1181</v>
      </c>
      <c r="D972" s="5" t="n">
        <v>1</v>
      </c>
      <c r="E972" s="5" t="n">
        <v>0</v>
      </c>
      <c r="F972" s="5" t="n">
        <v>0</v>
      </c>
      <c r="G972" s="5" t="s">
        <v>3313</v>
      </c>
      <c r="H972" s="5" t="s">
        <v>760</v>
      </c>
    </row>
    <row r="973" customFormat="false" ht="15" hidden="false" customHeight="false" outlineLevel="0" collapsed="false">
      <c r="A973" s="5" t="n">
        <v>972</v>
      </c>
      <c r="B973" s="5" t="s">
        <v>3314</v>
      </c>
      <c r="C973" s="5" t="s">
        <v>1181</v>
      </c>
      <c r="D973" s="5" t="n">
        <v>1</v>
      </c>
      <c r="E973" s="5" t="n">
        <v>0</v>
      </c>
      <c r="F973" s="5" t="n">
        <v>0</v>
      </c>
      <c r="G973" s="5" t="s">
        <v>3315</v>
      </c>
      <c r="H973" s="5" t="s">
        <v>837</v>
      </c>
    </row>
    <row r="974" customFormat="false" ht="15" hidden="false" customHeight="false" outlineLevel="0" collapsed="false">
      <c r="A974" s="5" t="n">
        <v>973</v>
      </c>
      <c r="B974" s="5" t="s">
        <v>3316</v>
      </c>
      <c r="C974" s="5" t="s">
        <v>1181</v>
      </c>
      <c r="D974" s="5" t="n">
        <v>1</v>
      </c>
      <c r="E974" s="5" t="n">
        <v>0</v>
      </c>
      <c r="F974" s="5" t="n">
        <v>0</v>
      </c>
      <c r="G974" s="5" t="s">
        <v>3317</v>
      </c>
      <c r="H974" s="5" t="s">
        <v>837</v>
      </c>
    </row>
    <row r="975" customFormat="false" ht="15" hidden="false" customHeight="false" outlineLevel="0" collapsed="false">
      <c r="A975" s="5" t="n">
        <v>974</v>
      </c>
      <c r="B975" s="5" t="s">
        <v>3318</v>
      </c>
      <c r="C975" s="5" t="s">
        <v>1176</v>
      </c>
      <c r="D975" s="5" t="n">
        <v>1</v>
      </c>
      <c r="E975" s="5" t="n">
        <v>0</v>
      </c>
      <c r="F975" s="5" t="n">
        <v>0</v>
      </c>
      <c r="G975" s="5" t="s">
        <v>3319</v>
      </c>
      <c r="H975" s="5" t="s">
        <v>630</v>
      </c>
    </row>
    <row r="976" customFormat="false" ht="15" hidden="false" customHeight="false" outlineLevel="0" collapsed="false">
      <c r="A976" s="5" t="n">
        <v>975</v>
      </c>
      <c r="B976" s="5" t="s">
        <v>3320</v>
      </c>
      <c r="C976" s="5" t="s">
        <v>1181</v>
      </c>
      <c r="D976" s="5" t="n">
        <v>1</v>
      </c>
      <c r="E976" s="5" t="n">
        <v>0</v>
      </c>
      <c r="F976" s="5" t="n">
        <v>0</v>
      </c>
      <c r="G976" s="5" t="s">
        <v>3321</v>
      </c>
      <c r="H976" s="5" t="s">
        <v>407</v>
      </c>
    </row>
    <row r="977" customFormat="false" ht="15" hidden="false" customHeight="false" outlineLevel="0" collapsed="false">
      <c r="A977" s="5" t="n">
        <v>976</v>
      </c>
      <c r="B977" s="5" t="s">
        <v>3322</v>
      </c>
      <c r="C977" s="5" t="s">
        <v>1176</v>
      </c>
      <c r="D977" s="5" t="n">
        <v>1</v>
      </c>
      <c r="E977" s="5" t="n">
        <v>0</v>
      </c>
      <c r="F977" s="5" t="n">
        <v>0</v>
      </c>
      <c r="G977" s="5" t="s">
        <v>3323</v>
      </c>
      <c r="H977" s="5" t="s">
        <v>642</v>
      </c>
    </row>
    <row r="978" customFormat="false" ht="15" hidden="false" customHeight="false" outlineLevel="0" collapsed="false">
      <c r="A978" s="5" t="n">
        <v>977</v>
      </c>
      <c r="B978" s="5" t="s">
        <v>3324</v>
      </c>
      <c r="C978" s="5" t="s">
        <v>1181</v>
      </c>
      <c r="D978" s="5" t="n">
        <v>1</v>
      </c>
      <c r="E978" s="5" t="n">
        <v>0</v>
      </c>
      <c r="F978" s="5" t="n">
        <v>0</v>
      </c>
      <c r="G978" s="5" t="s">
        <v>3325</v>
      </c>
      <c r="H978" s="5" t="s">
        <v>1069</v>
      </c>
    </row>
    <row r="979" customFormat="false" ht="15" hidden="false" customHeight="false" outlineLevel="0" collapsed="false">
      <c r="A979" s="5" t="n">
        <v>978</v>
      </c>
      <c r="B979" s="5" t="s">
        <v>3326</v>
      </c>
      <c r="C979" s="5" t="s">
        <v>1181</v>
      </c>
      <c r="D979" s="5" t="n">
        <v>1</v>
      </c>
      <c r="E979" s="5" t="n">
        <v>0</v>
      </c>
      <c r="F979" s="5" t="n">
        <v>0</v>
      </c>
      <c r="G979" s="5" t="s">
        <v>3327</v>
      </c>
      <c r="H979" s="5" t="s">
        <v>590</v>
      </c>
    </row>
    <row r="980" customFormat="false" ht="15" hidden="false" customHeight="false" outlineLevel="0" collapsed="false">
      <c r="A980" s="5" t="n">
        <v>979</v>
      </c>
      <c r="B980" s="5" t="s">
        <v>727</v>
      </c>
      <c r="C980" s="5" t="s">
        <v>1181</v>
      </c>
      <c r="D980" s="5" t="n">
        <v>1</v>
      </c>
      <c r="E980" s="5" t="n">
        <v>0</v>
      </c>
      <c r="F980" s="5" t="n">
        <v>0</v>
      </c>
      <c r="G980" s="5" t="s">
        <v>3328</v>
      </c>
      <c r="H980" s="5" t="s">
        <v>726</v>
      </c>
    </row>
    <row r="981" customFormat="false" ht="15" hidden="false" customHeight="false" outlineLevel="0" collapsed="false">
      <c r="A981" s="5" t="n">
        <v>980</v>
      </c>
      <c r="B981" s="5" t="s">
        <v>3329</v>
      </c>
      <c r="C981" s="5" t="s">
        <v>1181</v>
      </c>
      <c r="D981" s="5" t="n">
        <v>1</v>
      </c>
      <c r="E981" s="5" t="n">
        <v>0</v>
      </c>
      <c r="F981" s="5" t="n">
        <v>0</v>
      </c>
      <c r="G981" s="5" t="s">
        <v>3330</v>
      </c>
      <c r="H981" s="5" t="s">
        <v>578</v>
      </c>
    </row>
    <row r="982" customFormat="false" ht="15" hidden="false" customHeight="false" outlineLevel="0" collapsed="false">
      <c r="A982" s="5" t="n">
        <v>981</v>
      </c>
      <c r="B982" s="5" t="s">
        <v>3331</v>
      </c>
      <c r="C982" s="5" t="s">
        <v>1181</v>
      </c>
      <c r="D982" s="5" t="n">
        <v>1</v>
      </c>
      <c r="E982" s="5" t="n">
        <v>0</v>
      </c>
      <c r="F982" s="5" t="n">
        <v>0</v>
      </c>
      <c r="G982" s="5" t="s">
        <v>3332</v>
      </c>
      <c r="H982" s="5" t="s">
        <v>998</v>
      </c>
    </row>
    <row r="983" customFormat="false" ht="15" hidden="false" customHeight="false" outlineLevel="0" collapsed="false">
      <c r="A983" s="5" t="n">
        <v>982</v>
      </c>
      <c r="B983" s="5" t="s">
        <v>3333</v>
      </c>
      <c r="C983" s="5" t="s">
        <v>1181</v>
      </c>
      <c r="D983" s="5" t="n">
        <v>1</v>
      </c>
      <c r="E983" s="5" t="n">
        <v>0</v>
      </c>
      <c r="F983" s="5" t="n">
        <v>0</v>
      </c>
      <c r="G983" s="5" t="s">
        <v>3334</v>
      </c>
      <c r="H983" s="5" t="s">
        <v>799</v>
      </c>
    </row>
    <row r="984" customFormat="false" ht="15" hidden="false" customHeight="false" outlineLevel="0" collapsed="false">
      <c r="A984" s="5" t="n">
        <v>983</v>
      </c>
      <c r="B984" s="5" t="s">
        <v>3335</v>
      </c>
      <c r="C984" s="5" t="s">
        <v>1181</v>
      </c>
      <c r="D984" s="5" t="n">
        <v>1</v>
      </c>
      <c r="E984" s="5" t="n">
        <v>0</v>
      </c>
      <c r="F984" s="5" t="n">
        <v>0</v>
      </c>
      <c r="G984" s="5" t="s">
        <v>3336</v>
      </c>
      <c r="H984" s="5" t="s">
        <v>778</v>
      </c>
    </row>
    <row r="985" customFormat="false" ht="15" hidden="false" customHeight="false" outlineLevel="0" collapsed="false">
      <c r="A985" s="5" t="n">
        <v>984</v>
      </c>
      <c r="B985" s="5" t="s">
        <v>3337</v>
      </c>
      <c r="C985" s="5" t="s">
        <v>1181</v>
      </c>
      <c r="D985" s="5" t="n">
        <v>1</v>
      </c>
      <c r="E985" s="5" t="n">
        <v>0</v>
      </c>
      <c r="F985" s="5" t="n">
        <v>0</v>
      </c>
      <c r="G985" s="5" t="s">
        <v>3338</v>
      </c>
      <c r="H985" s="5" t="s">
        <v>767</v>
      </c>
    </row>
    <row r="986" customFormat="false" ht="15" hidden="false" customHeight="false" outlineLevel="0" collapsed="false">
      <c r="A986" s="5" t="n">
        <v>985</v>
      </c>
      <c r="B986" s="5" t="s">
        <v>3339</v>
      </c>
      <c r="C986" s="5" t="s">
        <v>1181</v>
      </c>
      <c r="D986" s="5" t="n">
        <v>1</v>
      </c>
      <c r="E986" s="5" t="n">
        <v>0</v>
      </c>
      <c r="F986" s="5" t="n">
        <v>0</v>
      </c>
      <c r="G986" s="5" t="s">
        <v>3340</v>
      </c>
      <c r="H986" s="5" t="s">
        <v>781</v>
      </c>
    </row>
    <row r="987" customFormat="false" ht="15" hidden="false" customHeight="false" outlineLevel="0" collapsed="false">
      <c r="A987" s="5" t="n">
        <v>986</v>
      </c>
      <c r="B987" s="5" t="s">
        <v>3341</v>
      </c>
      <c r="C987" s="5" t="s">
        <v>1181</v>
      </c>
      <c r="D987" s="5" t="n">
        <v>1</v>
      </c>
      <c r="E987" s="5" t="n">
        <v>0</v>
      </c>
      <c r="F987" s="5" t="n">
        <v>0</v>
      </c>
      <c r="G987" s="5" t="s">
        <v>3342</v>
      </c>
      <c r="H987" s="5" t="s">
        <v>810</v>
      </c>
    </row>
    <row r="988" customFormat="false" ht="15" hidden="false" customHeight="false" outlineLevel="0" collapsed="false">
      <c r="A988" s="5" t="n">
        <v>987</v>
      </c>
      <c r="B988" s="5" t="s">
        <v>321</v>
      </c>
      <c r="C988" s="5" t="s">
        <v>1181</v>
      </c>
      <c r="D988" s="5" t="n">
        <v>1</v>
      </c>
      <c r="E988" s="5" t="n">
        <v>0</v>
      </c>
      <c r="F988" s="5" t="n">
        <v>0</v>
      </c>
      <c r="G988" s="5" t="s">
        <v>3343</v>
      </c>
      <c r="H988" s="5" t="s">
        <v>320</v>
      </c>
    </row>
    <row r="989" customFormat="false" ht="15" hidden="false" customHeight="false" outlineLevel="0" collapsed="false">
      <c r="A989" s="5" t="n">
        <v>988</v>
      </c>
      <c r="B989" s="5" t="s">
        <v>3344</v>
      </c>
      <c r="C989" s="5" t="s">
        <v>1181</v>
      </c>
      <c r="D989" s="5" t="n">
        <v>1</v>
      </c>
      <c r="E989" s="5" t="n">
        <v>0</v>
      </c>
      <c r="F989" s="5" t="n">
        <v>0</v>
      </c>
      <c r="G989" s="5" t="s">
        <v>3345</v>
      </c>
      <c r="H989" s="5" t="s">
        <v>724</v>
      </c>
    </row>
    <row r="990" customFormat="false" ht="15" hidden="false" customHeight="false" outlineLevel="0" collapsed="false">
      <c r="A990" s="5" t="n">
        <v>989</v>
      </c>
      <c r="B990" s="5" t="s">
        <v>3346</v>
      </c>
      <c r="C990" s="5" t="s">
        <v>1181</v>
      </c>
      <c r="D990" s="5" t="n">
        <v>1</v>
      </c>
      <c r="E990" s="5" t="n">
        <v>0</v>
      </c>
      <c r="F990" s="5" t="n">
        <v>0</v>
      </c>
      <c r="G990" s="5" t="s">
        <v>3347</v>
      </c>
      <c r="H990" s="5" t="s">
        <v>794</v>
      </c>
    </row>
    <row r="991" customFormat="false" ht="15" hidden="false" customHeight="false" outlineLevel="0" collapsed="false">
      <c r="A991" s="5" t="n">
        <v>990</v>
      </c>
      <c r="B991" s="5" t="s">
        <v>3348</v>
      </c>
      <c r="C991" s="5" t="s">
        <v>1181</v>
      </c>
      <c r="D991" s="5" t="n">
        <v>1</v>
      </c>
      <c r="E991" s="5" t="n">
        <v>0</v>
      </c>
      <c r="F991" s="5" t="n">
        <v>0</v>
      </c>
      <c r="G991" s="5" t="s">
        <v>3349</v>
      </c>
      <c r="H991" s="5" t="s">
        <v>460</v>
      </c>
    </row>
    <row r="992" customFormat="false" ht="15" hidden="false" customHeight="false" outlineLevel="0" collapsed="false">
      <c r="A992" s="5" t="n">
        <v>991</v>
      </c>
      <c r="B992" s="5" t="s">
        <v>3350</v>
      </c>
      <c r="C992" s="5" t="s">
        <v>1181</v>
      </c>
      <c r="D992" s="5" t="n">
        <v>1</v>
      </c>
      <c r="E992" s="5" t="n">
        <v>0</v>
      </c>
      <c r="F992" s="5" t="n">
        <v>0</v>
      </c>
      <c r="G992" s="5" t="s">
        <v>3351</v>
      </c>
      <c r="H992" s="5" t="s">
        <v>94</v>
      </c>
    </row>
    <row r="993" customFormat="false" ht="15" hidden="false" customHeight="false" outlineLevel="0" collapsed="false">
      <c r="A993" s="5" t="n">
        <v>992</v>
      </c>
      <c r="B993" s="5" t="s">
        <v>3352</v>
      </c>
      <c r="C993" s="5" t="s">
        <v>1181</v>
      </c>
      <c r="D993" s="5" t="n">
        <v>1</v>
      </c>
      <c r="E993" s="5" t="n">
        <v>0</v>
      </c>
      <c r="F993" s="5" t="n">
        <v>0</v>
      </c>
      <c r="G993" s="5" t="s">
        <v>3353</v>
      </c>
      <c r="H993" s="5" t="s">
        <v>994</v>
      </c>
    </row>
    <row r="994" customFormat="false" ht="15" hidden="false" customHeight="false" outlineLevel="0" collapsed="false">
      <c r="A994" s="5" t="n">
        <v>993</v>
      </c>
      <c r="B994" s="5" t="s">
        <v>3354</v>
      </c>
      <c r="C994" s="5" t="s">
        <v>1181</v>
      </c>
      <c r="D994" s="5" t="n">
        <v>1</v>
      </c>
      <c r="E994" s="5" t="n">
        <v>0</v>
      </c>
      <c r="F994" s="5" t="n">
        <v>0</v>
      </c>
      <c r="G994" s="5" t="s">
        <v>3355</v>
      </c>
      <c r="H994" s="5" t="s">
        <v>810</v>
      </c>
    </row>
    <row r="995" customFormat="false" ht="15" hidden="false" customHeight="false" outlineLevel="0" collapsed="false">
      <c r="A995" s="5" t="n">
        <v>994</v>
      </c>
      <c r="B995" s="5" t="s">
        <v>3356</v>
      </c>
      <c r="C995" s="5" t="s">
        <v>1176</v>
      </c>
      <c r="D995" s="5" t="n">
        <v>1</v>
      </c>
      <c r="E995" s="5" t="n">
        <v>0</v>
      </c>
      <c r="F995" s="5" t="n">
        <v>0</v>
      </c>
      <c r="G995" s="5" t="s">
        <v>3357</v>
      </c>
      <c r="H995" s="5" t="s">
        <v>1085</v>
      </c>
    </row>
    <row r="996" customFormat="false" ht="15" hidden="false" customHeight="false" outlineLevel="0" collapsed="false">
      <c r="A996" s="5" t="n">
        <v>995</v>
      </c>
      <c r="B996" s="5" t="s">
        <v>3358</v>
      </c>
      <c r="C996" s="5" t="s">
        <v>1181</v>
      </c>
      <c r="D996" s="5" t="n">
        <v>1</v>
      </c>
      <c r="E996" s="5" t="n">
        <v>0</v>
      </c>
      <c r="F996" s="5" t="n">
        <v>0</v>
      </c>
      <c r="G996" s="5" t="s">
        <v>3359</v>
      </c>
      <c r="H996" s="5" t="s">
        <v>272</v>
      </c>
    </row>
    <row r="997" customFormat="false" ht="15" hidden="false" customHeight="false" outlineLevel="0" collapsed="false">
      <c r="A997" s="5" t="n">
        <v>996</v>
      </c>
      <c r="B997" s="5" t="s">
        <v>3360</v>
      </c>
      <c r="C997" s="5" t="s">
        <v>1181</v>
      </c>
      <c r="D997" s="5" t="n">
        <v>1</v>
      </c>
      <c r="E997" s="5" t="n">
        <v>0</v>
      </c>
      <c r="F997" s="5" t="n">
        <v>0</v>
      </c>
      <c r="G997" s="5" t="s">
        <v>3361</v>
      </c>
      <c r="H997" s="5" t="s">
        <v>163</v>
      </c>
    </row>
    <row r="998" customFormat="false" ht="15" hidden="false" customHeight="false" outlineLevel="0" collapsed="false">
      <c r="A998" s="5" t="n">
        <v>997</v>
      </c>
      <c r="B998" s="5" t="s">
        <v>3362</v>
      </c>
      <c r="C998" s="5" t="s">
        <v>1181</v>
      </c>
      <c r="D998" s="5" t="n">
        <v>1</v>
      </c>
      <c r="E998" s="5" t="n">
        <v>0</v>
      </c>
      <c r="F998" s="5" t="n">
        <v>0</v>
      </c>
      <c r="G998" s="5" t="s">
        <v>3363</v>
      </c>
      <c r="H998" s="5" t="s">
        <v>163</v>
      </c>
    </row>
    <row r="999" customFormat="false" ht="15" hidden="false" customHeight="false" outlineLevel="0" collapsed="false">
      <c r="A999" s="5" t="n">
        <v>998</v>
      </c>
      <c r="B999" s="5" t="s">
        <v>603</v>
      </c>
      <c r="C999" s="5" t="s">
        <v>1181</v>
      </c>
      <c r="D999" s="5" t="n">
        <v>1</v>
      </c>
      <c r="E999" s="5" t="n">
        <v>0</v>
      </c>
      <c r="F999" s="5" t="n">
        <v>0</v>
      </c>
      <c r="G999" s="5" t="s">
        <v>3364</v>
      </c>
      <c r="H999" s="5" t="s">
        <v>602</v>
      </c>
    </row>
    <row r="1000" customFormat="false" ht="15" hidden="false" customHeight="false" outlineLevel="0" collapsed="false">
      <c r="A1000" s="5" t="n">
        <v>999</v>
      </c>
      <c r="B1000" s="5" t="s">
        <v>1034</v>
      </c>
      <c r="C1000" s="5" t="s">
        <v>1181</v>
      </c>
      <c r="D1000" s="5" t="n">
        <v>1</v>
      </c>
      <c r="E1000" s="5" t="n">
        <v>0</v>
      </c>
      <c r="F1000" s="5" t="n">
        <v>0</v>
      </c>
      <c r="G1000" s="5" t="s">
        <v>3365</v>
      </c>
      <c r="H1000" s="5" t="s">
        <v>1033</v>
      </c>
    </row>
    <row r="1001" customFormat="false" ht="15" hidden="false" customHeight="false" outlineLevel="0" collapsed="false">
      <c r="A1001" s="5" t="n">
        <v>1000</v>
      </c>
      <c r="B1001" s="5" t="s">
        <v>3366</v>
      </c>
      <c r="C1001" s="5" t="s">
        <v>1181</v>
      </c>
      <c r="D1001" s="5" t="n">
        <v>1</v>
      </c>
      <c r="E1001" s="5" t="n">
        <v>0</v>
      </c>
      <c r="F1001" s="5" t="n">
        <v>0</v>
      </c>
      <c r="G1001" s="5" t="s">
        <v>3367</v>
      </c>
      <c r="H1001" s="5" t="s">
        <v>825</v>
      </c>
    </row>
    <row r="1002" customFormat="false" ht="15" hidden="false" customHeight="false" outlineLevel="0" collapsed="false">
      <c r="A1002" s="5" t="n">
        <v>1001</v>
      </c>
      <c r="B1002" s="5" t="s">
        <v>3368</v>
      </c>
      <c r="C1002" s="5" t="s">
        <v>1181</v>
      </c>
      <c r="D1002" s="5" t="n">
        <v>1</v>
      </c>
      <c r="E1002" s="5" t="n">
        <v>0</v>
      </c>
      <c r="F1002" s="5" t="n">
        <v>0</v>
      </c>
      <c r="G1002" s="5" t="s">
        <v>3369</v>
      </c>
      <c r="H1002" s="5" t="s">
        <v>109</v>
      </c>
    </row>
    <row r="1003" customFormat="false" ht="15" hidden="false" customHeight="false" outlineLevel="0" collapsed="false">
      <c r="A1003" s="5" t="n">
        <v>1002</v>
      </c>
      <c r="B1003" s="5" t="s">
        <v>3370</v>
      </c>
      <c r="C1003" s="5" t="s">
        <v>1176</v>
      </c>
      <c r="D1003" s="5" t="n">
        <v>1</v>
      </c>
      <c r="E1003" s="5" t="n">
        <v>0</v>
      </c>
      <c r="F1003" s="5" t="n">
        <v>0</v>
      </c>
      <c r="G1003" s="5" t="s">
        <v>3371</v>
      </c>
      <c r="H1003" s="5" t="s">
        <v>1069</v>
      </c>
    </row>
    <row r="1004" customFormat="false" ht="15" hidden="false" customHeight="false" outlineLevel="0" collapsed="false">
      <c r="A1004" s="5" t="n">
        <v>1003</v>
      </c>
      <c r="B1004" s="5" t="s">
        <v>3372</v>
      </c>
      <c r="C1004" s="5" t="s">
        <v>1181</v>
      </c>
      <c r="D1004" s="5" t="n">
        <v>1</v>
      </c>
      <c r="E1004" s="5" t="n">
        <v>0</v>
      </c>
      <c r="F1004" s="5" t="n">
        <v>0</v>
      </c>
      <c r="G1004" s="5" t="s">
        <v>3373</v>
      </c>
      <c r="H1004" s="5" t="s">
        <v>810</v>
      </c>
    </row>
    <row r="1005" customFormat="false" ht="15" hidden="false" customHeight="false" outlineLevel="0" collapsed="false">
      <c r="A1005" s="5" t="n">
        <v>1004</v>
      </c>
      <c r="B1005" s="5" t="s">
        <v>3374</v>
      </c>
      <c r="C1005" s="5" t="s">
        <v>1181</v>
      </c>
      <c r="D1005" s="5" t="n">
        <v>1</v>
      </c>
      <c r="E1005" s="5" t="n">
        <v>0</v>
      </c>
      <c r="F1005" s="5" t="n">
        <v>0</v>
      </c>
      <c r="G1005" s="5" t="s">
        <v>3375</v>
      </c>
      <c r="H1005" s="5" t="s">
        <v>1118</v>
      </c>
    </row>
    <row r="1006" customFormat="false" ht="15" hidden="false" customHeight="false" outlineLevel="0" collapsed="false">
      <c r="A1006" s="5" t="n">
        <v>1005</v>
      </c>
      <c r="B1006" s="5" t="s">
        <v>3376</v>
      </c>
      <c r="C1006" s="5" t="s">
        <v>1181</v>
      </c>
      <c r="D1006" s="5" t="n">
        <v>1</v>
      </c>
      <c r="E1006" s="5" t="n">
        <v>0</v>
      </c>
      <c r="F1006" s="5" t="n">
        <v>0</v>
      </c>
      <c r="G1006" s="5" t="s">
        <v>3377</v>
      </c>
      <c r="H1006" s="5" t="s">
        <v>810</v>
      </c>
    </row>
    <row r="1007" customFormat="false" ht="15" hidden="false" customHeight="false" outlineLevel="0" collapsed="false">
      <c r="A1007" s="5" t="n">
        <v>1006</v>
      </c>
      <c r="B1007" s="5" t="s">
        <v>3378</v>
      </c>
      <c r="C1007" s="5" t="s">
        <v>1181</v>
      </c>
      <c r="D1007" s="5" t="n">
        <v>1</v>
      </c>
      <c r="E1007" s="5" t="n">
        <v>0</v>
      </c>
      <c r="F1007" s="5" t="n">
        <v>0</v>
      </c>
      <c r="G1007" s="5" t="s">
        <v>3379</v>
      </c>
      <c r="H1007" s="5" t="s">
        <v>775</v>
      </c>
    </row>
    <row r="1008" customFormat="false" ht="15" hidden="false" customHeight="false" outlineLevel="0" collapsed="false">
      <c r="A1008" s="5" t="n">
        <v>1007</v>
      </c>
      <c r="B1008" s="5" t="s">
        <v>3380</v>
      </c>
      <c r="C1008" s="5" t="s">
        <v>1181</v>
      </c>
      <c r="D1008" s="5" t="n">
        <v>1</v>
      </c>
      <c r="E1008" s="5" t="n">
        <v>0</v>
      </c>
      <c r="F1008" s="5" t="n">
        <v>0</v>
      </c>
      <c r="G1008" s="5" t="s">
        <v>3381</v>
      </c>
      <c r="H1008" s="5" t="s">
        <v>659</v>
      </c>
    </row>
    <row r="1009" customFormat="false" ht="15" hidden="false" customHeight="false" outlineLevel="0" collapsed="false">
      <c r="A1009" s="5" t="n">
        <v>1008</v>
      </c>
      <c r="B1009" s="5" t="s">
        <v>862</v>
      </c>
      <c r="C1009" s="5" t="s">
        <v>1181</v>
      </c>
      <c r="D1009" s="5" t="n">
        <v>1</v>
      </c>
      <c r="E1009" s="5" t="n">
        <v>0</v>
      </c>
      <c r="F1009" s="5" t="n">
        <v>0</v>
      </c>
      <c r="G1009" s="5" t="s">
        <v>3382</v>
      </c>
      <c r="H1009" s="5" t="s">
        <v>861</v>
      </c>
    </row>
    <row r="1010" customFormat="false" ht="15" hidden="false" customHeight="false" outlineLevel="0" collapsed="false">
      <c r="A1010" s="5" t="n">
        <v>1009</v>
      </c>
      <c r="B1010" s="5" t="s">
        <v>3383</v>
      </c>
      <c r="C1010" s="5" t="s">
        <v>1181</v>
      </c>
      <c r="D1010" s="5" t="n">
        <v>1</v>
      </c>
      <c r="E1010" s="5" t="n">
        <v>0</v>
      </c>
      <c r="F1010" s="5" t="n">
        <v>0</v>
      </c>
      <c r="G1010" s="5" t="s">
        <v>3384</v>
      </c>
      <c r="H1010" s="5" t="s">
        <v>744</v>
      </c>
    </row>
    <row r="1011" customFormat="false" ht="15" hidden="false" customHeight="false" outlineLevel="0" collapsed="false">
      <c r="A1011" s="5" t="n">
        <v>1010</v>
      </c>
      <c r="B1011" s="5" t="s">
        <v>3385</v>
      </c>
      <c r="C1011" s="5" t="s">
        <v>1181</v>
      </c>
      <c r="D1011" s="5" t="n">
        <v>1</v>
      </c>
      <c r="E1011" s="5" t="n">
        <v>0</v>
      </c>
      <c r="F1011" s="5" t="n">
        <v>0</v>
      </c>
      <c r="G1011" s="5" t="s">
        <v>3386</v>
      </c>
      <c r="H1011" s="5" t="s">
        <v>763</v>
      </c>
    </row>
    <row r="1012" customFormat="false" ht="15" hidden="false" customHeight="false" outlineLevel="0" collapsed="false">
      <c r="A1012" s="5" t="n">
        <v>1011</v>
      </c>
      <c r="B1012" s="5" t="s">
        <v>3387</v>
      </c>
      <c r="C1012" s="5" t="s">
        <v>1181</v>
      </c>
      <c r="D1012" s="5" t="n">
        <v>1</v>
      </c>
      <c r="E1012" s="5" t="n">
        <v>0</v>
      </c>
      <c r="F1012" s="5" t="n">
        <v>0</v>
      </c>
      <c r="G1012" s="5" t="s">
        <v>3388</v>
      </c>
      <c r="H1012" s="5" t="s">
        <v>241</v>
      </c>
    </row>
    <row r="1013" customFormat="false" ht="15" hidden="false" customHeight="false" outlineLevel="0" collapsed="false">
      <c r="A1013" s="5" t="n">
        <v>1012</v>
      </c>
      <c r="B1013" s="5" t="s">
        <v>3389</v>
      </c>
      <c r="C1013" s="5" t="s">
        <v>1181</v>
      </c>
      <c r="D1013" s="5" t="n">
        <v>1</v>
      </c>
      <c r="E1013" s="5" t="n">
        <v>0</v>
      </c>
      <c r="F1013" s="5" t="n">
        <v>0</v>
      </c>
      <c r="G1013" s="5" t="s">
        <v>3390</v>
      </c>
      <c r="H1013" s="5" t="s">
        <v>741</v>
      </c>
    </row>
    <row r="1014" customFormat="false" ht="15" hidden="false" customHeight="false" outlineLevel="0" collapsed="false">
      <c r="A1014" s="5" t="n">
        <v>1013</v>
      </c>
      <c r="B1014" s="5" t="s">
        <v>3391</v>
      </c>
      <c r="C1014" s="5" t="s">
        <v>1181</v>
      </c>
      <c r="D1014" s="5" t="n">
        <v>1</v>
      </c>
      <c r="E1014" s="5" t="n">
        <v>0</v>
      </c>
      <c r="F1014" s="5" t="n">
        <v>0</v>
      </c>
      <c r="G1014" s="5" t="s">
        <v>3392</v>
      </c>
      <c r="H1014" s="5" t="s">
        <v>637</v>
      </c>
    </row>
    <row r="1015" customFormat="false" ht="15" hidden="false" customHeight="false" outlineLevel="0" collapsed="false">
      <c r="A1015" s="5" t="n">
        <v>1014</v>
      </c>
      <c r="B1015" s="5" t="s">
        <v>3393</v>
      </c>
      <c r="C1015" s="5" t="s">
        <v>1181</v>
      </c>
      <c r="D1015" s="5" t="n">
        <v>1</v>
      </c>
      <c r="E1015" s="5" t="n">
        <v>0</v>
      </c>
      <c r="F1015" s="5" t="n">
        <v>0</v>
      </c>
      <c r="G1015" s="5" t="s">
        <v>3394</v>
      </c>
      <c r="H1015" s="5" t="s">
        <v>733</v>
      </c>
    </row>
    <row r="1016" customFormat="false" ht="15" hidden="false" customHeight="false" outlineLevel="0" collapsed="false">
      <c r="A1016" s="5" t="n">
        <v>1015</v>
      </c>
      <c r="B1016" s="5" t="s">
        <v>3395</v>
      </c>
      <c r="C1016" s="5" t="s">
        <v>1181</v>
      </c>
      <c r="D1016" s="5" t="n">
        <v>1</v>
      </c>
      <c r="E1016" s="5" t="n">
        <v>0</v>
      </c>
      <c r="F1016" s="5" t="n">
        <v>0</v>
      </c>
      <c r="G1016" s="5" t="s">
        <v>3396</v>
      </c>
      <c r="H1016" s="5" t="s">
        <v>531</v>
      </c>
    </row>
    <row r="1017" customFormat="false" ht="15" hidden="false" customHeight="false" outlineLevel="0" collapsed="false">
      <c r="A1017" s="5" t="n">
        <v>1016</v>
      </c>
      <c r="B1017" s="5" t="s">
        <v>3397</v>
      </c>
      <c r="C1017" s="5" t="s">
        <v>1181</v>
      </c>
      <c r="D1017" s="5" t="n">
        <v>1</v>
      </c>
      <c r="E1017" s="5" t="n">
        <v>0</v>
      </c>
      <c r="F1017" s="5" t="n">
        <v>0</v>
      </c>
      <c r="G1017" s="5" t="s">
        <v>3398</v>
      </c>
      <c r="H1017" s="5" t="s">
        <v>691</v>
      </c>
    </row>
    <row r="1018" customFormat="false" ht="15" hidden="false" customHeight="false" outlineLevel="0" collapsed="false">
      <c r="A1018" s="5" t="n">
        <v>1017</v>
      </c>
      <c r="B1018" s="5" t="s">
        <v>3399</v>
      </c>
      <c r="C1018" s="5" t="s">
        <v>1181</v>
      </c>
      <c r="D1018" s="5" t="n">
        <v>1</v>
      </c>
      <c r="E1018" s="5" t="n">
        <v>0</v>
      </c>
      <c r="F1018" s="5" t="n">
        <v>0</v>
      </c>
      <c r="G1018" s="5" t="s">
        <v>3400</v>
      </c>
      <c r="H1018" s="5" t="s">
        <v>698</v>
      </c>
    </row>
    <row r="1019" customFormat="false" ht="15" hidden="false" customHeight="false" outlineLevel="0" collapsed="false">
      <c r="A1019" s="5" t="n">
        <v>1018</v>
      </c>
      <c r="B1019" s="5" t="s">
        <v>430</v>
      </c>
      <c r="C1019" s="5" t="s">
        <v>1181</v>
      </c>
      <c r="D1019" s="5" t="n">
        <v>1</v>
      </c>
      <c r="E1019" s="5" t="n">
        <v>0</v>
      </c>
      <c r="F1019" s="5" t="n">
        <v>0</v>
      </c>
      <c r="G1019" s="5" t="s">
        <v>3401</v>
      </c>
      <c r="H1019" s="5" t="s">
        <v>428</v>
      </c>
    </row>
    <row r="1020" customFormat="false" ht="15" hidden="false" customHeight="false" outlineLevel="0" collapsed="false">
      <c r="A1020" s="5" t="n">
        <v>1019</v>
      </c>
      <c r="B1020" s="5" t="s">
        <v>3402</v>
      </c>
      <c r="C1020" s="5" t="s">
        <v>1181</v>
      </c>
      <c r="D1020" s="5" t="n">
        <v>1</v>
      </c>
      <c r="E1020" s="5" t="n">
        <v>0</v>
      </c>
      <c r="F1020" s="5" t="n">
        <v>0</v>
      </c>
      <c r="G1020" s="5" t="s">
        <v>3403</v>
      </c>
      <c r="H1020" s="5" t="s">
        <v>192</v>
      </c>
    </row>
    <row r="1021" customFormat="false" ht="15" hidden="false" customHeight="false" outlineLevel="0" collapsed="false">
      <c r="A1021" s="5" t="n">
        <v>1020</v>
      </c>
      <c r="B1021" s="5" t="s">
        <v>3404</v>
      </c>
      <c r="C1021" s="5" t="s">
        <v>1181</v>
      </c>
      <c r="D1021" s="5" t="n">
        <v>1</v>
      </c>
      <c r="E1021" s="5" t="n">
        <v>0</v>
      </c>
      <c r="F1021" s="5" t="n">
        <v>0</v>
      </c>
      <c r="G1021" s="5" t="s">
        <v>3405</v>
      </c>
      <c r="H1021" s="5" t="s">
        <v>516</v>
      </c>
    </row>
    <row r="1022" customFormat="false" ht="15" hidden="false" customHeight="false" outlineLevel="0" collapsed="false">
      <c r="A1022" s="5" t="n">
        <v>1021</v>
      </c>
      <c r="B1022" s="5" t="s">
        <v>3406</v>
      </c>
      <c r="C1022" s="5" t="s">
        <v>1181</v>
      </c>
      <c r="D1022" s="5" t="n">
        <v>1</v>
      </c>
      <c r="E1022" s="5" t="n">
        <v>0</v>
      </c>
      <c r="F1022" s="5" t="n">
        <v>0</v>
      </c>
      <c r="G1022" s="5" t="s">
        <v>3407</v>
      </c>
      <c r="H1022" s="5" t="s">
        <v>810</v>
      </c>
    </row>
    <row r="1023" customFormat="false" ht="15" hidden="false" customHeight="false" outlineLevel="0" collapsed="false">
      <c r="A1023" s="5" t="n">
        <v>1022</v>
      </c>
      <c r="B1023" s="5" t="s">
        <v>3408</v>
      </c>
      <c r="C1023" s="5" t="s">
        <v>1181</v>
      </c>
      <c r="D1023" s="5" t="n">
        <v>1</v>
      </c>
      <c r="E1023" s="5" t="n">
        <v>0</v>
      </c>
      <c r="F1023" s="5" t="n">
        <v>0</v>
      </c>
      <c r="G1023" s="5" t="s">
        <v>3409</v>
      </c>
      <c r="H1023" s="5" t="s">
        <v>345</v>
      </c>
    </row>
    <row r="1024" customFormat="false" ht="15" hidden="false" customHeight="false" outlineLevel="0" collapsed="false">
      <c r="A1024" s="5" t="n">
        <v>1023</v>
      </c>
      <c r="B1024" s="5" t="s">
        <v>3410</v>
      </c>
      <c r="C1024" s="5" t="s">
        <v>1181</v>
      </c>
      <c r="D1024" s="5" t="n">
        <v>1</v>
      </c>
      <c r="E1024" s="5" t="n">
        <v>0</v>
      </c>
      <c r="F1024" s="5" t="n">
        <v>0</v>
      </c>
      <c r="G1024" s="5" t="s">
        <v>3411</v>
      </c>
      <c r="H1024" s="5" t="s">
        <v>1087</v>
      </c>
    </row>
    <row r="1025" customFormat="false" ht="15" hidden="false" customHeight="false" outlineLevel="0" collapsed="false">
      <c r="A1025" s="5" t="n">
        <v>1024</v>
      </c>
      <c r="B1025" s="5" t="s">
        <v>319</v>
      </c>
      <c r="C1025" s="5" t="s">
        <v>1181</v>
      </c>
      <c r="D1025" s="5" t="n">
        <v>1</v>
      </c>
      <c r="E1025" s="5" t="n">
        <v>0</v>
      </c>
      <c r="F1025" s="5" t="n">
        <v>0</v>
      </c>
      <c r="G1025" s="5" t="s">
        <v>3412</v>
      </c>
      <c r="H1025" s="5" t="s">
        <v>318</v>
      </c>
    </row>
    <row r="1026" customFormat="false" ht="15" hidden="false" customHeight="false" outlineLevel="0" collapsed="false">
      <c r="A1026" s="5" t="n">
        <v>1025</v>
      </c>
      <c r="B1026" s="5" t="s">
        <v>3413</v>
      </c>
      <c r="C1026" s="5" t="s">
        <v>1176</v>
      </c>
      <c r="D1026" s="5" t="n">
        <v>1</v>
      </c>
      <c r="E1026" s="5" t="n">
        <v>0</v>
      </c>
      <c r="F1026" s="5" t="n">
        <v>0</v>
      </c>
      <c r="G1026" s="5" t="s">
        <v>3414</v>
      </c>
      <c r="H1026" s="5" t="s">
        <v>826</v>
      </c>
    </row>
    <row r="1027" customFormat="false" ht="15" hidden="false" customHeight="false" outlineLevel="0" collapsed="false">
      <c r="A1027" s="5" t="n">
        <v>1026</v>
      </c>
      <c r="B1027" s="5" t="s">
        <v>3415</v>
      </c>
      <c r="C1027" s="5" t="s">
        <v>1181</v>
      </c>
      <c r="D1027" s="5" t="n">
        <v>1</v>
      </c>
      <c r="E1027" s="5" t="n">
        <v>0</v>
      </c>
      <c r="F1027" s="5" t="n">
        <v>0</v>
      </c>
      <c r="G1027" s="5" t="s">
        <v>3416</v>
      </c>
      <c r="H1027" s="5" t="s">
        <v>622</v>
      </c>
    </row>
    <row r="1028" customFormat="false" ht="15" hidden="false" customHeight="false" outlineLevel="0" collapsed="false">
      <c r="A1028" s="5" t="n">
        <v>1027</v>
      </c>
      <c r="B1028" s="5" t="s">
        <v>3417</v>
      </c>
      <c r="C1028" s="5" t="s">
        <v>1181</v>
      </c>
      <c r="D1028" s="5" t="n">
        <v>1</v>
      </c>
      <c r="E1028" s="5" t="n">
        <v>0</v>
      </c>
      <c r="F1028" s="5" t="n">
        <v>0</v>
      </c>
      <c r="G1028" s="5" t="s">
        <v>3418</v>
      </c>
      <c r="H1028" s="5" t="s">
        <v>767</v>
      </c>
    </row>
    <row r="1029" customFormat="false" ht="15" hidden="false" customHeight="false" outlineLevel="0" collapsed="false">
      <c r="A1029" s="5" t="n">
        <v>1028</v>
      </c>
      <c r="B1029" s="5" t="s">
        <v>3419</v>
      </c>
      <c r="C1029" s="5" t="s">
        <v>1181</v>
      </c>
      <c r="D1029" s="5" t="n">
        <v>1</v>
      </c>
      <c r="E1029" s="5" t="n">
        <v>0</v>
      </c>
      <c r="F1029" s="5" t="n">
        <v>0</v>
      </c>
      <c r="G1029" s="5" t="s">
        <v>3420</v>
      </c>
      <c r="H1029" s="5" t="s">
        <v>341</v>
      </c>
    </row>
    <row r="1030" customFormat="false" ht="15" hidden="false" customHeight="false" outlineLevel="0" collapsed="false">
      <c r="A1030" s="5" t="n">
        <v>1029</v>
      </c>
      <c r="B1030" s="5" t="s">
        <v>3421</v>
      </c>
      <c r="C1030" s="5" t="s">
        <v>1181</v>
      </c>
      <c r="D1030" s="5" t="n">
        <v>1</v>
      </c>
      <c r="E1030" s="5" t="n">
        <v>0</v>
      </c>
      <c r="F1030" s="5" t="n">
        <v>0</v>
      </c>
      <c r="G1030" s="5" t="s">
        <v>3422</v>
      </c>
      <c r="H1030" s="5" t="s">
        <v>637</v>
      </c>
    </row>
    <row r="1031" customFormat="false" ht="15" hidden="false" customHeight="false" outlineLevel="0" collapsed="false">
      <c r="A1031" s="5" t="n">
        <v>1030</v>
      </c>
      <c r="B1031" s="5" t="s">
        <v>3423</v>
      </c>
      <c r="C1031" s="5" t="s">
        <v>1181</v>
      </c>
      <c r="D1031" s="5" t="n">
        <v>1</v>
      </c>
      <c r="E1031" s="5" t="n">
        <v>0</v>
      </c>
      <c r="F1031" s="5" t="n">
        <v>0</v>
      </c>
      <c r="G1031" s="5" t="s">
        <v>3424</v>
      </c>
      <c r="H1031" s="5" t="s">
        <v>622</v>
      </c>
    </row>
    <row r="1032" customFormat="false" ht="15" hidden="false" customHeight="false" outlineLevel="0" collapsed="false">
      <c r="A1032" s="5" t="n">
        <v>1031</v>
      </c>
      <c r="B1032" s="5" t="s">
        <v>3425</v>
      </c>
      <c r="C1032" s="5" t="s">
        <v>1181</v>
      </c>
      <c r="D1032" s="5" t="n">
        <v>1</v>
      </c>
      <c r="E1032" s="5" t="n">
        <v>0</v>
      </c>
      <c r="F1032" s="5" t="n">
        <v>0</v>
      </c>
      <c r="G1032" s="5" t="s">
        <v>3426</v>
      </c>
      <c r="H1032" s="5" t="s">
        <v>312</v>
      </c>
    </row>
    <row r="1033" customFormat="false" ht="15" hidden="false" customHeight="false" outlineLevel="0" collapsed="false">
      <c r="A1033" s="5" t="n">
        <v>1032</v>
      </c>
      <c r="B1033" s="5" t="s">
        <v>3427</v>
      </c>
      <c r="C1033" s="5" t="s">
        <v>1181</v>
      </c>
      <c r="D1033" s="5" t="n">
        <v>1</v>
      </c>
      <c r="E1033" s="5" t="n">
        <v>0</v>
      </c>
      <c r="F1033" s="5" t="n">
        <v>0</v>
      </c>
      <c r="G1033" s="5" t="s">
        <v>3428</v>
      </c>
      <c r="H1033" s="5" t="s">
        <v>1114</v>
      </c>
    </row>
    <row r="1034" customFormat="false" ht="15" hidden="false" customHeight="false" outlineLevel="0" collapsed="false">
      <c r="A1034" s="5" t="n">
        <v>1033</v>
      </c>
      <c r="B1034" s="5" t="s">
        <v>3429</v>
      </c>
      <c r="C1034" s="5" t="s">
        <v>1181</v>
      </c>
      <c r="D1034" s="5" t="n">
        <v>1</v>
      </c>
      <c r="E1034" s="5" t="n">
        <v>0</v>
      </c>
      <c r="F1034" s="5" t="n">
        <v>0</v>
      </c>
      <c r="G1034" s="5" t="s">
        <v>3430</v>
      </c>
      <c r="H1034" s="5" t="s">
        <v>1069</v>
      </c>
    </row>
    <row r="1035" customFormat="false" ht="15" hidden="false" customHeight="false" outlineLevel="0" collapsed="false">
      <c r="A1035" s="5" t="n">
        <v>1034</v>
      </c>
      <c r="B1035" s="5" t="s">
        <v>3431</v>
      </c>
      <c r="C1035" s="5" t="s">
        <v>1181</v>
      </c>
      <c r="D1035" s="5" t="n">
        <v>1</v>
      </c>
      <c r="E1035" s="5" t="n">
        <v>0</v>
      </c>
      <c r="F1035" s="5" t="n">
        <v>0</v>
      </c>
      <c r="G1035" s="5" t="s">
        <v>3432</v>
      </c>
      <c r="H1035" s="5" t="s">
        <v>762</v>
      </c>
    </row>
    <row r="1036" customFormat="false" ht="15" hidden="false" customHeight="false" outlineLevel="0" collapsed="false">
      <c r="A1036" s="5" t="n">
        <v>1035</v>
      </c>
      <c r="B1036" s="5" t="s">
        <v>725</v>
      </c>
      <c r="C1036" s="5" t="s">
        <v>1181</v>
      </c>
      <c r="D1036" s="5" t="n">
        <v>1</v>
      </c>
      <c r="E1036" s="5" t="n">
        <v>0</v>
      </c>
      <c r="F1036" s="5" t="n">
        <v>0</v>
      </c>
      <c r="G1036" s="5" t="s">
        <v>3433</v>
      </c>
      <c r="H1036" s="5" t="s">
        <v>724</v>
      </c>
    </row>
    <row r="1037" customFormat="false" ht="15" hidden="false" customHeight="false" outlineLevel="0" collapsed="false">
      <c r="A1037" s="5" t="n">
        <v>1036</v>
      </c>
      <c r="B1037" s="5" t="s">
        <v>3434</v>
      </c>
      <c r="C1037" s="5" t="s">
        <v>1176</v>
      </c>
      <c r="D1037" s="5" t="n">
        <v>1</v>
      </c>
      <c r="E1037" s="5" t="n">
        <v>0</v>
      </c>
      <c r="F1037" s="5" t="n">
        <v>0</v>
      </c>
      <c r="G1037" s="5" t="s">
        <v>3435</v>
      </c>
      <c r="H1037" s="5" t="s">
        <v>1085</v>
      </c>
    </row>
    <row r="1038" customFormat="false" ht="15" hidden="false" customHeight="false" outlineLevel="0" collapsed="false">
      <c r="A1038" s="5" t="n">
        <v>1037</v>
      </c>
      <c r="B1038" s="5" t="s">
        <v>3436</v>
      </c>
      <c r="C1038" s="5" t="s">
        <v>1181</v>
      </c>
      <c r="D1038" s="5" t="n">
        <v>1</v>
      </c>
      <c r="E1038" s="5" t="n">
        <v>0</v>
      </c>
      <c r="F1038" s="5" t="n">
        <v>0</v>
      </c>
      <c r="G1038" s="5" t="s">
        <v>3437</v>
      </c>
      <c r="H1038" s="5" t="s">
        <v>1085</v>
      </c>
    </row>
    <row r="1039" customFormat="false" ht="15" hidden="false" customHeight="false" outlineLevel="0" collapsed="false">
      <c r="A1039" s="5" t="n">
        <v>1038</v>
      </c>
      <c r="B1039" s="5" t="s">
        <v>795</v>
      </c>
      <c r="C1039" s="5" t="s">
        <v>1181</v>
      </c>
      <c r="D1039" s="5" t="n">
        <v>1</v>
      </c>
      <c r="E1039" s="5" t="n">
        <v>0</v>
      </c>
      <c r="F1039" s="5" t="n">
        <v>0</v>
      </c>
      <c r="G1039" s="5" t="s">
        <v>3438</v>
      </c>
      <c r="H1039" s="5" t="s">
        <v>794</v>
      </c>
    </row>
    <row r="1040" customFormat="false" ht="15" hidden="false" customHeight="false" outlineLevel="0" collapsed="false">
      <c r="A1040" s="5" t="n">
        <v>1039</v>
      </c>
      <c r="B1040" s="5" t="s">
        <v>3439</v>
      </c>
      <c r="C1040" s="5" t="s">
        <v>1181</v>
      </c>
      <c r="D1040" s="5" t="n">
        <v>1</v>
      </c>
      <c r="E1040" s="5" t="n">
        <v>0</v>
      </c>
      <c r="F1040" s="5" t="n">
        <v>0</v>
      </c>
      <c r="G1040" s="5" t="s">
        <v>3440</v>
      </c>
      <c r="H1040" s="5" t="s">
        <v>1085</v>
      </c>
    </row>
    <row r="1041" customFormat="false" ht="15" hidden="false" customHeight="false" outlineLevel="0" collapsed="false">
      <c r="A1041" s="5" t="n">
        <v>1040</v>
      </c>
      <c r="B1041" s="5" t="s">
        <v>3441</v>
      </c>
      <c r="C1041" s="5" t="s">
        <v>1181</v>
      </c>
      <c r="D1041" s="5" t="n">
        <v>1</v>
      </c>
      <c r="E1041" s="5" t="n">
        <v>0</v>
      </c>
      <c r="F1041" s="5" t="n">
        <v>0</v>
      </c>
      <c r="G1041" s="5" t="s">
        <v>3442</v>
      </c>
      <c r="H1041" s="5" t="s">
        <v>642</v>
      </c>
    </row>
    <row r="1042" customFormat="false" ht="15" hidden="false" customHeight="false" outlineLevel="0" collapsed="false">
      <c r="A1042" s="5" t="n">
        <v>1041</v>
      </c>
      <c r="B1042" s="5" t="s">
        <v>3443</v>
      </c>
      <c r="C1042" s="5" t="s">
        <v>1181</v>
      </c>
      <c r="D1042" s="5" t="n">
        <v>1</v>
      </c>
      <c r="E1042" s="5" t="n">
        <v>0</v>
      </c>
      <c r="F1042" s="5" t="n">
        <v>0</v>
      </c>
      <c r="G1042" s="5" t="s">
        <v>3444</v>
      </c>
      <c r="H1042" s="5" t="s">
        <v>767</v>
      </c>
    </row>
    <row r="1043" customFormat="false" ht="15" hidden="false" customHeight="false" outlineLevel="0" collapsed="false">
      <c r="A1043" s="5" t="n">
        <v>1042</v>
      </c>
      <c r="B1043" s="5" t="s">
        <v>3445</v>
      </c>
      <c r="C1043" s="5" t="s">
        <v>1181</v>
      </c>
      <c r="D1043" s="5" t="n">
        <v>1</v>
      </c>
      <c r="E1043" s="5" t="n">
        <v>0</v>
      </c>
      <c r="F1043" s="5" t="n">
        <v>0</v>
      </c>
      <c r="G1043" s="5" t="s">
        <v>3446</v>
      </c>
      <c r="H1043" s="5" t="s">
        <v>556</v>
      </c>
    </row>
    <row r="1044" customFormat="false" ht="15" hidden="false" customHeight="false" outlineLevel="0" collapsed="false">
      <c r="A1044" s="5" t="n">
        <v>1043</v>
      </c>
      <c r="B1044" s="5" t="s">
        <v>3447</v>
      </c>
      <c r="C1044" s="5" t="s">
        <v>1176</v>
      </c>
      <c r="D1044" s="5" t="n">
        <v>1</v>
      </c>
      <c r="E1044" s="5" t="n">
        <v>0</v>
      </c>
      <c r="F1044" s="5" t="n">
        <v>0</v>
      </c>
      <c r="G1044" s="5" t="s">
        <v>3448</v>
      </c>
      <c r="H1044" s="5" t="s">
        <v>425</v>
      </c>
    </row>
    <row r="1045" customFormat="false" ht="15" hidden="false" customHeight="false" outlineLevel="0" collapsed="false">
      <c r="A1045" s="5" t="n">
        <v>1044</v>
      </c>
      <c r="B1045" s="5" t="s">
        <v>3449</v>
      </c>
      <c r="C1045" s="5" t="s">
        <v>1181</v>
      </c>
      <c r="D1045" s="5" t="n">
        <v>1</v>
      </c>
      <c r="E1045" s="5" t="n">
        <v>0</v>
      </c>
      <c r="F1045" s="5" t="n">
        <v>0</v>
      </c>
      <c r="G1045" s="5" t="s">
        <v>3450</v>
      </c>
      <c r="H1045" s="5" t="s">
        <v>573</v>
      </c>
    </row>
    <row r="1046" customFormat="false" ht="15" hidden="false" customHeight="false" outlineLevel="0" collapsed="false">
      <c r="A1046" s="5" t="n">
        <v>1045</v>
      </c>
      <c r="B1046" s="5" t="s">
        <v>3451</v>
      </c>
      <c r="C1046" s="5" t="s">
        <v>1181</v>
      </c>
      <c r="D1046" s="5" t="n">
        <v>1</v>
      </c>
      <c r="E1046" s="5" t="n">
        <v>0</v>
      </c>
      <c r="F1046" s="5" t="n">
        <v>0</v>
      </c>
      <c r="G1046" s="5" t="s">
        <v>3452</v>
      </c>
      <c r="H1046" s="5" t="s">
        <v>426</v>
      </c>
    </row>
    <row r="1047" customFormat="false" ht="15" hidden="false" customHeight="false" outlineLevel="0" collapsed="false">
      <c r="A1047" s="5" t="n">
        <v>1046</v>
      </c>
      <c r="B1047" s="5" t="s">
        <v>3453</v>
      </c>
      <c r="C1047" s="5" t="s">
        <v>1181</v>
      </c>
      <c r="D1047" s="5" t="n">
        <v>1</v>
      </c>
      <c r="E1047" s="5" t="n">
        <v>0</v>
      </c>
      <c r="F1047" s="5" t="n">
        <v>0</v>
      </c>
      <c r="G1047" s="5" t="s">
        <v>3454</v>
      </c>
      <c r="H1047" s="5" t="s">
        <v>1087</v>
      </c>
    </row>
    <row r="1048" customFormat="false" ht="15" hidden="false" customHeight="false" outlineLevel="0" collapsed="false">
      <c r="A1048" s="5" t="n">
        <v>1047</v>
      </c>
      <c r="B1048" s="5" t="s">
        <v>3455</v>
      </c>
      <c r="C1048" s="5" t="s">
        <v>1176</v>
      </c>
      <c r="D1048" s="5" t="n">
        <v>1</v>
      </c>
      <c r="E1048" s="5" t="n">
        <v>0</v>
      </c>
      <c r="F1048" s="5" t="n">
        <v>0</v>
      </c>
      <c r="G1048" s="5" t="s">
        <v>3456</v>
      </c>
      <c r="H1048" s="5" t="s">
        <v>1085</v>
      </c>
    </row>
    <row r="1049" customFormat="false" ht="15" hidden="false" customHeight="false" outlineLevel="0" collapsed="false">
      <c r="A1049" s="5" t="n">
        <v>1048</v>
      </c>
      <c r="B1049" s="5" t="s">
        <v>3457</v>
      </c>
      <c r="C1049" s="5" t="s">
        <v>1181</v>
      </c>
      <c r="D1049" s="5" t="n">
        <v>1</v>
      </c>
      <c r="E1049" s="5" t="n">
        <v>0</v>
      </c>
      <c r="F1049" s="5" t="n">
        <v>0</v>
      </c>
      <c r="G1049" s="5" t="s">
        <v>3458</v>
      </c>
      <c r="H1049" s="5" t="s">
        <v>312</v>
      </c>
    </row>
    <row r="1050" customFormat="false" ht="15" hidden="false" customHeight="false" outlineLevel="0" collapsed="false">
      <c r="A1050" s="5" t="n">
        <v>1049</v>
      </c>
      <c r="B1050" s="5" t="s">
        <v>3459</v>
      </c>
      <c r="C1050" s="5" t="s">
        <v>1181</v>
      </c>
      <c r="D1050" s="5" t="n">
        <v>1</v>
      </c>
      <c r="E1050" s="5" t="n">
        <v>0</v>
      </c>
      <c r="F1050" s="5" t="n">
        <v>0</v>
      </c>
      <c r="G1050" s="5" t="s">
        <v>3460</v>
      </c>
      <c r="H1050" s="5" t="s">
        <v>578</v>
      </c>
    </row>
    <row r="1051" customFormat="false" ht="15" hidden="false" customHeight="false" outlineLevel="0" collapsed="false">
      <c r="A1051" s="5" t="n">
        <v>1050</v>
      </c>
      <c r="B1051" s="5" t="s">
        <v>3461</v>
      </c>
      <c r="C1051" s="5" t="s">
        <v>1181</v>
      </c>
      <c r="D1051" s="5" t="n">
        <v>1</v>
      </c>
      <c r="E1051" s="5" t="n">
        <v>0</v>
      </c>
      <c r="F1051" s="5" t="n">
        <v>0</v>
      </c>
      <c r="G1051" s="5" t="s">
        <v>3462</v>
      </c>
      <c r="H1051" s="5" t="s">
        <v>1005</v>
      </c>
    </row>
    <row r="1052" customFormat="false" ht="15" hidden="false" customHeight="false" outlineLevel="0" collapsed="false">
      <c r="A1052" s="5" t="n">
        <v>1051</v>
      </c>
      <c r="B1052" s="5" t="s">
        <v>3463</v>
      </c>
      <c r="C1052" s="5" t="s">
        <v>1181</v>
      </c>
      <c r="D1052" s="5" t="n">
        <v>1</v>
      </c>
      <c r="E1052" s="5" t="n">
        <v>0</v>
      </c>
      <c r="F1052" s="5" t="n">
        <v>0</v>
      </c>
      <c r="G1052" s="5" t="s">
        <v>3464</v>
      </c>
      <c r="H1052" s="5" t="s">
        <v>460</v>
      </c>
    </row>
    <row r="1053" customFormat="false" ht="15" hidden="false" customHeight="false" outlineLevel="0" collapsed="false">
      <c r="A1053" s="5" t="n">
        <v>1052</v>
      </c>
      <c r="B1053" s="5" t="s">
        <v>3465</v>
      </c>
      <c r="C1053" s="5" t="s">
        <v>1181</v>
      </c>
      <c r="D1053" s="5" t="n">
        <v>1</v>
      </c>
      <c r="E1053" s="5" t="n">
        <v>0</v>
      </c>
      <c r="F1053" s="5" t="n">
        <v>0</v>
      </c>
      <c r="G1053" s="5" t="s">
        <v>3466</v>
      </c>
      <c r="H1053" s="5" t="s">
        <v>578</v>
      </c>
    </row>
    <row r="1054" customFormat="false" ht="15" hidden="false" customHeight="false" outlineLevel="0" collapsed="false">
      <c r="A1054" s="5" t="n">
        <v>1053</v>
      </c>
      <c r="B1054" s="5" t="s">
        <v>3467</v>
      </c>
      <c r="C1054" s="5" t="s">
        <v>1181</v>
      </c>
      <c r="D1054" s="5" t="n">
        <v>1</v>
      </c>
      <c r="E1054" s="5" t="n">
        <v>0</v>
      </c>
      <c r="F1054" s="5" t="n">
        <v>0</v>
      </c>
      <c r="G1054" s="5" t="s">
        <v>3468</v>
      </c>
      <c r="H1054" s="5" t="s">
        <v>602</v>
      </c>
    </row>
    <row r="1055" customFormat="false" ht="15" hidden="false" customHeight="false" outlineLevel="0" collapsed="false">
      <c r="A1055" s="5" t="n">
        <v>1054</v>
      </c>
      <c r="B1055" s="5" t="s">
        <v>3469</v>
      </c>
      <c r="C1055" s="5" t="s">
        <v>1181</v>
      </c>
      <c r="D1055" s="5" t="n">
        <v>1</v>
      </c>
      <c r="E1055" s="5" t="n">
        <v>0</v>
      </c>
      <c r="F1055" s="5" t="n">
        <v>0</v>
      </c>
      <c r="G1055" s="5" t="s">
        <v>3470</v>
      </c>
      <c r="H1055" s="5" t="s">
        <v>810</v>
      </c>
    </row>
    <row r="1056" customFormat="false" ht="15" hidden="false" customHeight="false" outlineLevel="0" collapsed="false">
      <c r="A1056" s="5" t="n">
        <v>1055</v>
      </c>
      <c r="B1056" s="5" t="s">
        <v>3471</v>
      </c>
      <c r="C1056" s="5" t="s">
        <v>1181</v>
      </c>
      <c r="D1056" s="5" t="n">
        <v>1</v>
      </c>
      <c r="E1056" s="5" t="n">
        <v>0</v>
      </c>
      <c r="F1056" s="5" t="n">
        <v>0</v>
      </c>
      <c r="G1056" s="5" t="s">
        <v>3472</v>
      </c>
      <c r="H1056" s="5" t="s">
        <v>1069</v>
      </c>
    </row>
    <row r="1057" customFormat="false" ht="15" hidden="false" customHeight="false" outlineLevel="0" collapsed="false">
      <c r="A1057" s="5" t="n">
        <v>1056</v>
      </c>
      <c r="B1057" s="5" t="s">
        <v>646</v>
      </c>
      <c r="C1057" s="5" t="s">
        <v>1176</v>
      </c>
      <c r="D1057" s="5" t="n">
        <v>1</v>
      </c>
      <c r="E1057" s="5" t="n">
        <v>0</v>
      </c>
      <c r="F1057" s="5" t="n">
        <v>0</v>
      </c>
      <c r="G1057" s="5" t="s">
        <v>3473</v>
      </c>
      <c r="H1057" s="5" t="s">
        <v>644</v>
      </c>
    </row>
    <row r="1058" customFormat="false" ht="15" hidden="false" customHeight="false" outlineLevel="0" collapsed="false">
      <c r="A1058" s="5" t="n">
        <v>1057</v>
      </c>
      <c r="B1058" s="5" t="s">
        <v>3474</v>
      </c>
      <c r="C1058" s="5" t="s">
        <v>1181</v>
      </c>
      <c r="D1058" s="5" t="n">
        <v>1</v>
      </c>
      <c r="E1058" s="5" t="n">
        <v>0</v>
      </c>
      <c r="F1058" s="5" t="n">
        <v>0</v>
      </c>
      <c r="G1058" s="5" t="s">
        <v>3475</v>
      </c>
      <c r="H1058" s="5" t="s">
        <v>1153</v>
      </c>
    </row>
    <row r="1059" customFormat="false" ht="15" hidden="false" customHeight="false" outlineLevel="0" collapsed="false">
      <c r="A1059" s="5" t="n">
        <v>1058</v>
      </c>
      <c r="B1059" s="5" t="s">
        <v>3476</v>
      </c>
      <c r="C1059" s="5" t="s">
        <v>1181</v>
      </c>
      <c r="D1059" s="5" t="n">
        <v>1</v>
      </c>
      <c r="E1059" s="5" t="n">
        <v>0</v>
      </c>
      <c r="F1059" s="5" t="n">
        <v>0</v>
      </c>
      <c r="G1059" s="5" t="s">
        <v>3477</v>
      </c>
      <c r="H1059" s="5" t="s">
        <v>1085</v>
      </c>
    </row>
    <row r="1060" customFormat="false" ht="15" hidden="false" customHeight="false" outlineLevel="0" collapsed="false">
      <c r="A1060" s="5" t="n">
        <v>1059</v>
      </c>
      <c r="B1060" s="5" t="s">
        <v>3478</v>
      </c>
      <c r="C1060" s="5" t="s">
        <v>1181</v>
      </c>
      <c r="D1060" s="5" t="n">
        <v>1</v>
      </c>
      <c r="E1060" s="5" t="n">
        <v>0</v>
      </c>
      <c r="F1060" s="5" t="n">
        <v>0</v>
      </c>
      <c r="G1060" s="5" t="s">
        <v>3479</v>
      </c>
      <c r="H1060" s="5" t="s">
        <v>506</v>
      </c>
    </row>
    <row r="1061" customFormat="false" ht="15" hidden="false" customHeight="false" outlineLevel="0" collapsed="false">
      <c r="A1061" s="5" t="n">
        <v>1060</v>
      </c>
      <c r="B1061" s="5" t="s">
        <v>3480</v>
      </c>
      <c r="C1061" s="5" t="s">
        <v>1181</v>
      </c>
      <c r="D1061" s="5" t="n">
        <v>1</v>
      </c>
      <c r="E1061" s="5" t="n">
        <v>0</v>
      </c>
      <c r="F1061" s="5" t="n">
        <v>0</v>
      </c>
      <c r="G1061" s="5" t="s">
        <v>3481</v>
      </c>
      <c r="H1061" s="5" t="s">
        <v>570</v>
      </c>
    </row>
    <row r="1062" customFormat="false" ht="15" hidden="false" customHeight="false" outlineLevel="0" collapsed="false">
      <c r="A1062" s="5" t="n">
        <v>1061</v>
      </c>
      <c r="B1062" s="5" t="s">
        <v>3482</v>
      </c>
      <c r="C1062" s="5" t="s">
        <v>1181</v>
      </c>
      <c r="D1062" s="5" t="n">
        <v>1</v>
      </c>
      <c r="E1062" s="5" t="n">
        <v>0</v>
      </c>
      <c r="F1062" s="5" t="n">
        <v>0</v>
      </c>
      <c r="G1062" s="5" t="s">
        <v>3483</v>
      </c>
      <c r="H1062" s="5" t="s">
        <v>698</v>
      </c>
    </row>
    <row r="1063" customFormat="false" ht="15" hidden="false" customHeight="false" outlineLevel="0" collapsed="false">
      <c r="A1063" s="5" t="n">
        <v>1062</v>
      </c>
      <c r="B1063" s="5" t="s">
        <v>3484</v>
      </c>
      <c r="C1063" s="5" t="s">
        <v>1181</v>
      </c>
      <c r="D1063" s="5" t="n">
        <v>1</v>
      </c>
      <c r="E1063" s="5" t="n">
        <v>0</v>
      </c>
      <c r="F1063" s="5" t="n">
        <v>0</v>
      </c>
      <c r="G1063" s="5" t="s">
        <v>3485</v>
      </c>
      <c r="H1063" s="5" t="s">
        <v>718</v>
      </c>
    </row>
    <row r="1064" customFormat="false" ht="15" hidden="false" customHeight="false" outlineLevel="0" collapsed="false">
      <c r="A1064" s="5" t="n">
        <v>1063</v>
      </c>
      <c r="B1064" s="5" t="s">
        <v>3486</v>
      </c>
      <c r="C1064" s="5" t="s">
        <v>1181</v>
      </c>
      <c r="D1064" s="5" t="n">
        <v>1</v>
      </c>
      <c r="E1064" s="5" t="n">
        <v>0</v>
      </c>
      <c r="F1064" s="5" t="n">
        <v>0</v>
      </c>
      <c r="G1064" s="5" t="s">
        <v>3487</v>
      </c>
      <c r="H1064" s="5" t="s">
        <v>556</v>
      </c>
    </row>
    <row r="1065" customFormat="false" ht="15" hidden="false" customHeight="false" outlineLevel="0" collapsed="false">
      <c r="A1065" s="5" t="n">
        <v>1064</v>
      </c>
      <c r="B1065" s="5" t="s">
        <v>3488</v>
      </c>
      <c r="C1065" s="5" t="s">
        <v>1176</v>
      </c>
      <c r="D1065" s="5" t="n">
        <v>1</v>
      </c>
      <c r="E1065" s="5" t="n">
        <v>0</v>
      </c>
      <c r="F1065" s="5" t="n">
        <v>0</v>
      </c>
      <c r="G1065" s="5" t="s">
        <v>3489</v>
      </c>
      <c r="H1065" s="5" t="s">
        <v>799</v>
      </c>
    </row>
    <row r="1066" customFormat="false" ht="15" hidden="false" customHeight="false" outlineLevel="0" collapsed="false">
      <c r="A1066" s="5" t="n">
        <v>1065</v>
      </c>
      <c r="B1066" s="5" t="s">
        <v>3490</v>
      </c>
      <c r="C1066" s="5" t="s">
        <v>1181</v>
      </c>
      <c r="D1066" s="5" t="n">
        <v>1</v>
      </c>
      <c r="E1066" s="5" t="n">
        <v>0</v>
      </c>
      <c r="F1066" s="5" t="n">
        <v>0</v>
      </c>
      <c r="G1066" s="5" t="s">
        <v>3491</v>
      </c>
      <c r="H1066" s="5" t="s">
        <v>624</v>
      </c>
    </row>
    <row r="1067" customFormat="false" ht="15" hidden="false" customHeight="false" outlineLevel="0" collapsed="false">
      <c r="A1067" s="5" t="n">
        <v>1066</v>
      </c>
      <c r="B1067" s="5" t="s">
        <v>3492</v>
      </c>
      <c r="C1067" s="5" t="s">
        <v>1181</v>
      </c>
      <c r="D1067" s="5" t="n">
        <v>1</v>
      </c>
      <c r="E1067" s="5" t="n">
        <v>0</v>
      </c>
      <c r="F1067" s="5" t="n">
        <v>0</v>
      </c>
      <c r="G1067" s="5" t="s">
        <v>3493</v>
      </c>
      <c r="H1067" s="5" t="s">
        <v>367</v>
      </c>
    </row>
    <row r="1068" customFormat="false" ht="15" hidden="false" customHeight="false" outlineLevel="0" collapsed="false">
      <c r="A1068" s="5" t="n">
        <v>1067</v>
      </c>
      <c r="B1068" s="5" t="s">
        <v>3494</v>
      </c>
      <c r="C1068" s="5" t="s">
        <v>1181</v>
      </c>
      <c r="D1068" s="5" t="n">
        <v>1</v>
      </c>
      <c r="E1068" s="5" t="n">
        <v>0</v>
      </c>
      <c r="F1068" s="5" t="n">
        <v>0</v>
      </c>
      <c r="G1068" s="5" t="s">
        <v>3495</v>
      </c>
      <c r="H1068" s="5" t="s">
        <v>529</v>
      </c>
    </row>
    <row r="1069" customFormat="false" ht="15" hidden="false" customHeight="false" outlineLevel="0" collapsed="false">
      <c r="A1069" s="5" t="n">
        <v>1068</v>
      </c>
      <c r="B1069" s="5" t="s">
        <v>3496</v>
      </c>
      <c r="C1069" s="5" t="s">
        <v>1181</v>
      </c>
      <c r="D1069" s="5" t="n">
        <v>1</v>
      </c>
      <c r="E1069" s="5" t="n">
        <v>0</v>
      </c>
      <c r="F1069" s="5" t="n">
        <v>0</v>
      </c>
      <c r="G1069" s="5" t="s">
        <v>3497</v>
      </c>
      <c r="H1069" s="5" t="s">
        <v>533</v>
      </c>
    </row>
    <row r="1070" customFormat="false" ht="15" hidden="false" customHeight="false" outlineLevel="0" collapsed="false">
      <c r="A1070" s="5" t="n">
        <v>1069</v>
      </c>
      <c r="B1070" s="5" t="s">
        <v>1002</v>
      </c>
      <c r="C1070" s="5" t="s">
        <v>1181</v>
      </c>
      <c r="D1070" s="5" t="n">
        <v>1</v>
      </c>
      <c r="E1070" s="5" t="n">
        <v>0</v>
      </c>
      <c r="F1070" s="5" t="n">
        <v>0</v>
      </c>
      <c r="G1070" s="5" t="s">
        <v>3498</v>
      </c>
      <c r="H1070" s="5" t="s">
        <v>1000</v>
      </c>
    </row>
    <row r="1071" customFormat="false" ht="15" hidden="false" customHeight="false" outlineLevel="0" collapsed="false">
      <c r="A1071" s="5" t="n">
        <v>1070</v>
      </c>
      <c r="B1071" s="5" t="s">
        <v>3499</v>
      </c>
      <c r="C1071" s="5" t="s">
        <v>1181</v>
      </c>
      <c r="D1071" s="5" t="n">
        <v>1</v>
      </c>
      <c r="E1071" s="5" t="n">
        <v>0</v>
      </c>
      <c r="F1071" s="5" t="n">
        <v>0</v>
      </c>
      <c r="G1071" s="5" t="s">
        <v>3500</v>
      </c>
      <c r="H1071" s="5" t="s">
        <v>962</v>
      </c>
    </row>
    <row r="1072" customFormat="false" ht="15" hidden="false" customHeight="false" outlineLevel="0" collapsed="false">
      <c r="A1072" s="5" t="n">
        <v>1071</v>
      </c>
      <c r="B1072" s="5" t="s">
        <v>3501</v>
      </c>
      <c r="C1072" s="5" t="s">
        <v>1181</v>
      </c>
      <c r="D1072" s="5" t="n">
        <v>1</v>
      </c>
      <c r="E1072" s="5" t="n">
        <v>0</v>
      </c>
      <c r="F1072" s="5" t="n">
        <v>0</v>
      </c>
      <c r="G1072" s="5" t="s">
        <v>3502</v>
      </c>
      <c r="H1072" s="5" t="s">
        <v>1011</v>
      </c>
    </row>
  </sheetData>
  <autoFilter ref="A1:H10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2026-10-20T06:04:16Z</dcterms:created>
  <dc:creator>openpyxl</dc:creator>
  <dc:description/>
  <dc:language>en-US</dc:language>
  <cp:lastModifiedBy/>
  <dcterms:modified xsi:type="dcterms:W3CDTF">2026-10-20T06:04:24Z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